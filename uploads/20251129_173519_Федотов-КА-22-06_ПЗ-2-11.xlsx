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2" showHorizontalScroll="1" showVerticalScroll="1"/>
  </bookViews>
  <sheets>
    <sheet name="Лист1" sheetId="1" state="visible" r:id="rId1"/>
    <sheet name="Лист2" sheetId="2" state="visible" r:id="rId2"/>
    <sheet name="Лист3" sheetId="3" state="visible" r:id="rId3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<sst xmlns="http://schemas.openxmlformats.org/spreadsheetml/2006/main" count="33" uniqueCount="33">
  <si>
    <t xml:space="preserve">Задание 1</t>
  </si>
  <si>
    <t>Исходная</t>
  </si>
  <si>
    <t>коэффициенты</t>
  </si>
  <si>
    <t>AVG</t>
  </si>
  <si>
    <t>+</t>
  </si>
  <si>
    <t>=</t>
  </si>
  <si>
    <t>сумма=</t>
  </si>
  <si>
    <t>Лямбда=</t>
  </si>
  <si>
    <t>ИС=</t>
  </si>
  <si>
    <t>ОС=</t>
  </si>
  <si>
    <t xml:space="preserve">ОС &gt; 0,1 =&gt; не согласована</t>
  </si>
  <si>
    <t xml:space="preserve">Итерация 1</t>
  </si>
  <si>
    <t xml:space="preserve">Итерация 2</t>
  </si>
  <si>
    <t xml:space="preserve">Итерация 3</t>
  </si>
  <si>
    <t xml:space="preserve">Итерация 4</t>
  </si>
  <si>
    <t xml:space="preserve">ОС &gt; 0,1 =&gt; согласована</t>
  </si>
  <si>
    <t xml:space="preserve">ЗАДАНИЕ 2</t>
  </si>
  <si>
    <t xml:space="preserve">Сумма по рядам=</t>
  </si>
  <si>
    <t>ит1</t>
  </si>
  <si>
    <t>ит2</t>
  </si>
  <si>
    <t>ит3</t>
  </si>
  <si>
    <t>ит4</t>
  </si>
  <si>
    <t>ит5</t>
  </si>
  <si>
    <t>ит6</t>
  </si>
  <si>
    <t>ит7</t>
  </si>
  <si>
    <t>ит8</t>
  </si>
  <si>
    <t>СОГЛАСОВАНА</t>
  </si>
  <si>
    <t xml:space="preserve">ЗАДАНИЕ 3</t>
  </si>
  <si>
    <t>ит9</t>
  </si>
  <si>
    <t>ит10</t>
  </si>
  <si>
    <t>ит11</t>
  </si>
  <si>
    <t>ит12</t>
  </si>
  <si>
    <t>ит13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</si>
</sst>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sz val="12.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theme="5" tint="0.39997558519241921"/>
        <bgColor theme="5" tint="0.39997558519241921"/>
      </patternFill>
    </fill>
    <fill>
      <patternFill patternType="solid">
        <fgColor theme="5" tint="0.59999389629810485"/>
        <bgColor theme="5" tint="0.59999389629810485"/>
      </patternFill>
    </fill>
  </fills>
  <borders count="7">
    <border>
      <left style="none"/>
      <right style="none"/>
      <top style="none"/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indexed="64"/>
      </left>
      <right style="none"/>
      <top style="thin">
        <color indexed="64"/>
      </top>
      <bottom style="thin">
        <color indexed="64"/>
      </bottom>
      <diagonal style="none"/>
    </border>
    <border>
      <left style="thin">
        <color indexed="64"/>
      </left>
      <right style="thin">
        <color indexed="64"/>
      </right>
      <top style="none"/>
      <bottom style="thin">
        <color indexed="64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none"/>
      <diagonal style="none"/>
    </border>
  </borders>
  <cellStyleXfs count="1">
    <xf fontId="0" fillId="0" borderId="0" numFmtId="0" applyNumberFormat="1" applyFont="1" applyFill="1" applyBorder="1"/>
  </cellStyleXfs>
  <cellXfs count="14">
    <xf fontId="0" fillId="0" borderId="0" numFmtId="0" xfId="0" quotePrefix="0" pivotButton="0"/>
    <xf fontId="0" fillId="0" borderId="0" numFmtId="0" xfId="0" quotePrefix="0" pivotButton="0"/>
    <xf fontId="1" fillId="2" borderId="0" numFmtId="0" xfId="0" applyFont="1" applyFill="1" quotePrefix="0" pivotButton="0"/>
    <xf fontId="1" fillId="2" borderId="1" numFmtId="0" xfId="0" applyFont="1" applyFill="1" applyBorder="1" applyAlignment="1" quotePrefix="0" pivotButton="0">
      <alignment horizontal="center"/>
    </xf>
    <xf fontId="1" fillId="2" borderId="2" numFmtId="2" xfId="0" applyNumberFormat="1" applyFont="1" applyFill="1" applyBorder="1" quotePrefix="0" pivotButton="0"/>
    <xf fontId="1" fillId="2" borderId="1" numFmtId="0" xfId="0" applyFont="1" applyFill="1" applyBorder="1" quotePrefix="0" pivotButton="0"/>
    <xf fontId="1" fillId="2" borderId="3" numFmtId="0" xfId="0" applyFont="1" applyFill="1" applyBorder="1" quotePrefix="0" pivotButton="0"/>
    <xf fontId="1" fillId="2" borderId="4" numFmtId="0" xfId="0" applyFont="1" applyFill="1" applyBorder="1" quotePrefix="0" pivotButton="0"/>
    <xf fontId="1" fillId="2" borderId="0" numFmtId="0" xfId="0" applyFont="1" applyFill="1" applyAlignment="1" quotePrefix="0" pivotButton="0">
      <alignment horizontal="center"/>
    </xf>
    <xf fontId="1" fillId="3" borderId="1" numFmtId="0" xfId="0" applyFont="1" applyFill="1" applyBorder="1" quotePrefix="0" pivotButton="0"/>
    <xf fontId="1" fillId="2" borderId="5" numFmtId="2" xfId="0" applyNumberFormat="1" applyFont="1" applyFill="1" applyBorder="1" quotePrefix="0" pivotButton="0"/>
    <xf fontId="1" fillId="2" borderId="1" numFmtId="2" xfId="0" applyNumberFormat="1" applyFont="1" applyFill="1" applyBorder="1" quotePrefix="0" pivotButton="0"/>
    <xf fontId="1" fillId="2" borderId="6" numFmtId="0" xfId="0" applyFont="1" applyFill="1" applyBorder="1" applyAlignment="1" quotePrefix="0" pivotButton="0">
      <alignment horizontal="center"/>
    </xf>
    <xf fontId="1" fillId="4" borderId="1" numFmtId="0" xfId="0" applyFont="1" applyFill="1" applyBorder="1" quotePrefix="0" pivotButton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Z60" zoomScale="100" workbookViewId="0">
      <selection activeCell="A1" activeCellId="0" sqref="A1"/>
    </sheetView>
  </sheetViews>
  <sheetFormatPr baseColWidth="8" defaultRowHeight="14.25"/>
  <cols>
    <col customWidth="1" min="1" max="1" style="1" width="13.42578125"/>
    <col customWidth="1" min="8" max="8" style="1" width="25.7109375"/>
    <col customWidth="1" min="21" max="21" style="1" width="12.140625"/>
  </cols>
  <sheetData>
    <row r="1" ht="16.5">
      <c r="A1" s="2" t="s">
        <v>0</v>
      </c>
    </row>
    <row r="2" ht="16.5">
      <c r="B2" s="2" t="s">
        <v>1</v>
      </c>
      <c r="H2" s="2" t="s">
        <v>2</v>
      </c>
      <c r="N2" s="3" t="s">
        <v>3</v>
      </c>
    </row>
    <row r="3" ht="16.5">
      <c r="B3" s="4">
        <v>1</v>
      </c>
      <c r="C3" s="4">
        <v>1</v>
      </c>
      <c r="D3" s="4">
        <v>2</v>
      </c>
      <c r="E3" s="4">
        <v>2</v>
      </c>
      <c r="F3" s="4">
        <v>0.16666666666666671</v>
      </c>
      <c r="I3" s="5">
        <f t="shared" ref="I3:I7" si="0">B3/$B$8</f>
        <v>0.1111111111111111</v>
      </c>
      <c r="J3" s="5">
        <f>C3/$C$8</f>
        <v>0.0625</v>
      </c>
      <c r="K3" s="5">
        <f t="shared" ref="K3:K7" si="1">D3/$D$8</f>
        <v>0.17821782178217824</v>
      </c>
      <c r="L3" s="5">
        <f t="shared" ref="L3:L7" si="2">E3/$E$8</f>
        <v>0.094117647058823528</v>
      </c>
      <c r="M3" s="6">
        <f t="shared" ref="M3:M7" si="3">F3/$F$8</f>
        <v>0.069364161849711004</v>
      </c>
      <c r="N3" s="7">
        <f t="shared" ref="N3:N7" si="4">AVERAGE(I3:M3)</f>
        <v>0.10306214836036479</v>
      </c>
      <c r="Q3" s="5">
        <v>1</v>
      </c>
      <c r="R3" s="5">
        <f>(C3*$N$3)/N4</f>
        <v>0.84275217222339205</v>
      </c>
      <c r="S3" s="5">
        <f>(D3*$N$3)/N5</f>
        <v>0.87140159814511753</v>
      </c>
      <c r="T3" s="5">
        <f>(E3*$N$3)/N6</f>
        <v>2.5213478908272151</v>
      </c>
      <c r="U3" s="5">
        <f>(F3*$N$3)/N7</f>
        <v>0.037639984959724836</v>
      </c>
      <c r="Y3" s="5">
        <f t="array" ref="Y3:AC7">TRANSPOSE(Q3:U7)</f>
        <v>1</v>
      </c>
      <c r="Z3" s="5">
        <f/>
        <v>1.1865884573892569</v>
      </c>
      <c r="AA3" s="5">
        <f/>
        <v>1.147576504482686</v>
      </c>
      <c r="AB3" s="5">
        <f/>
        <v>0.39661325739222592</v>
      </c>
      <c r="AC3" s="5">
        <f/>
        <v>26.567492018660761</v>
      </c>
      <c r="AG3" s="5">
        <f t="shared" ref="AG3:AG7" si="5">Q3+Y3</f>
        <v>2</v>
      </c>
      <c r="AH3" s="5">
        <f t="shared" ref="AH3:AH7" si="6">R3+Z3</f>
        <v>2.029340629612649</v>
      </c>
      <c r="AI3" s="5">
        <f t="shared" ref="AI3:AI7" si="7">S3+AA3</f>
        <v>2.0189781026278038</v>
      </c>
      <c r="AJ3" s="5">
        <f t="shared" ref="AJ3:AJ7" si="8">T3+AB3</f>
        <v>2.9179611482194412</v>
      </c>
      <c r="AK3" s="5">
        <f t="shared" ref="AK3:AK7" si="9">U3+AC3</f>
        <v>26.605132003620486</v>
      </c>
    </row>
    <row r="4" ht="16.5">
      <c r="B4" s="4">
        <v>1</v>
      </c>
      <c r="C4" s="4">
        <v>1</v>
      </c>
      <c r="D4" s="4">
        <v>0.1111111111111111</v>
      </c>
      <c r="E4" s="4">
        <v>0.25</v>
      </c>
      <c r="F4" s="4">
        <v>1</v>
      </c>
      <c r="I4" s="5">
        <f t="shared" si="0"/>
        <v>0.1111111111111111</v>
      </c>
      <c r="J4" s="5">
        <f t="shared" ref="J4:J7" si="10">C4/$C$8</f>
        <v>0.0625</v>
      </c>
      <c r="K4" s="5">
        <f t="shared" si="1"/>
        <v>0.0099009900990099011</v>
      </c>
      <c r="L4" s="5">
        <f t="shared" si="2"/>
        <v>0.011764705882352941</v>
      </c>
      <c r="M4" s="6">
        <f t="shared" si="3"/>
        <v>0.41618497109826591</v>
      </c>
      <c r="N4" s="7">
        <f t="shared" si="4"/>
        <v>0.12229235563814797</v>
      </c>
      <c r="Q4" s="5">
        <f>1/R3</f>
        <v>1.1865884573892567</v>
      </c>
      <c r="R4" s="5">
        <v>1</v>
      </c>
      <c r="S4" s="5">
        <f>(D4*$N$4)/N5</f>
        <v>0.057444171006086002</v>
      </c>
      <c r="T4" s="5">
        <f>(E4*$N$4)/N6</f>
        <v>0.37397528803979019</v>
      </c>
      <c r="U4" s="5">
        <f>(F4*$N$4)/N7</f>
        <v>0.26797903013708824</v>
      </c>
      <c r="Y4" s="5">
        <f/>
        <v>0.84275217222339183</v>
      </c>
      <c r="Z4" s="5">
        <f/>
        <v>1</v>
      </c>
      <c r="AA4" s="5">
        <f/>
        <v>17.40820665501559</v>
      </c>
      <c r="AB4" s="5">
        <f/>
        <v>2.6739734735991489</v>
      </c>
      <c r="AC4" s="5">
        <f/>
        <v>3.731635268208997</v>
      </c>
      <c r="AG4" s="5">
        <f t="shared" si="5"/>
        <v>2.0293406296126486</v>
      </c>
      <c r="AH4" s="5">
        <f t="shared" si="6"/>
        <v>2</v>
      </c>
      <c r="AI4" s="5">
        <f t="shared" si="7"/>
        <v>17.465650826021676</v>
      </c>
      <c r="AJ4" s="5">
        <f t="shared" si="8"/>
        <v>3.0479487616389394</v>
      </c>
      <c r="AK4" s="5">
        <f t="shared" si="9"/>
        <v>3.9996142983460854</v>
      </c>
    </row>
    <row r="5" ht="26.25" customHeight="1">
      <c r="B5" s="4">
        <v>0.5</v>
      </c>
      <c r="C5" s="4">
        <v>9</v>
      </c>
      <c r="D5" s="4">
        <v>1</v>
      </c>
      <c r="E5" s="4">
        <v>9</v>
      </c>
      <c r="F5" s="4">
        <v>0.125</v>
      </c>
      <c r="I5" s="5">
        <f t="shared" si="0"/>
        <v>0.055555555555555552</v>
      </c>
      <c r="J5" s="5">
        <f t="shared" si="10"/>
        <v>0.5625</v>
      </c>
      <c r="K5" s="5">
        <f t="shared" si="1"/>
        <v>0.089108910891089119</v>
      </c>
      <c r="L5" s="5">
        <f t="shared" si="2"/>
        <v>0.42352941176470588</v>
      </c>
      <c r="M5" s="6">
        <f t="shared" si="3"/>
        <v>0.052023121387283239</v>
      </c>
      <c r="N5" s="7">
        <f t="shared" si="4"/>
        <v>0.23654339991972675</v>
      </c>
      <c r="Q5" s="5">
        <f>1/S3</f>
        <v>1.1475765044826858</v>
      </c>
      <c r="R5" s="5">
        <f>1/S4</f>
        <v>17.40820665501559</v>
      </c>
      <c r="S5" s="5">
        <v>1</v>
      </c>
      <c r="T5" s="5">
        <f>(E5*$N$5)/N6</f>
        <v>26.04095639226259</v>
      </c>
      <c r="U5" s="5">
        <f>(F5*$N$5)/N7</f>
        <v>0.064792143553292811</v>
      </c>
      <c r="W5" s="8" t="s">
        <v>4</v>
      </c>
      <c r="Y5" s="5">
        <f/>
        <v>0.87140159814511731</v>
      </c>
      <c r="Z5" s="5">
        <f/>
        <v>0.057444171006086002</v>
      </c>
      <c r="AA5" s="5">
        <f/>
        <v>1</v>
      </c>
      <c r="AB5" s="5">
        <f/>
        <v>0.038401047370791828</v>
      </c>
      <c r="AC5" s="5">
        <f/>
        <v>15.433970002512419</v>
      </c>
      <c r="AE5" s="8" t="s">
        <v>5</v>
      </c>
      <c r="AG5" s="5">
        <f t="shared" si="5"/>
        <v>2.0189781026278029</v>
      </c>
      <c r="AH5" s="5">
        <f t="shared" si="6"/>
        <v>17.465650826021676</v>
      </c>
      <c r="AI5" s="5">
        <f t="shared" si="7"/>
        <v>2</v>
      </c>
      <c r="AJ5" s="5">
        <f t="shared" si="8"/>
        <v>26.07935743963338</v>
      </c>
      <c r="AK5" s="5">
        <f t="shared" si="9"/>
        <v>15.498762146065712</v>
      </c>
    </row>
    <row r="6" ht="16.5">
      <c r="B6" s="4">
        <v>0.5</v>
      </c>
      <c r="C6" s="4">
        <v>4</v>
      </c>
      <c r="D6" s="4">
        <v>0.1111111111111111</v>
      </c>
      <c r="E6" s="4">
        <v>1</v>
      </c>
      <c r="F6" s="4">
        <v>0.1111111111111111</v>
      </c>
      <c r="I6" s="5">
        <f t="shared" si="0"/>
        <v>0.055555555555555552</v>
      </c>
      <c r="J6" s="5">
        <f t="shared" si="10"/>
        <v>0.25</v>
      </c>
      <c r="K6" s="5">
        <f t="shared" si="1"/>
        <v>0.0099009900990099011</v>
      </c>
      <c r="L6" s="5">
        <f t="shared" si="2"/>
        <v>0.047058823529411764</v>
      </c>
      <c r="M6" s="6">
        <f t="shared" si="3"/>
        <v>0.046242774566473986</v>
      </c>
      <c r="N6" s="7">
        <f t="shared" si="4"/>
        <v>0.081751628750090247</v>
      </c>
      <c r="Q6" s="5">
        <f>1/T3</f>
        <v>0.39661325739222586</v>
      </c>
      <c r="R6" s="5">
        <f>1/T4</f>
        <v>2.6739734735991489</v>
      </c>
      <c r="S6" s="5">
        <f>1/T5</f>
        <v>0.038401047370791828</v>
      </c>
      <c r="T6" s="5">
        <v>1</v>
      </c>
      <c r="U6" s="5">
        <f>(F6*$N$6)/N7</f>
        <v>0.019904689390761132</v>
      </c>
      <c r="Y6" s="5">
        <f/>
        <v>2.5213478908272151</v>
      </c>
      <c r="Z6" s="5">
        <f/>
        <v>0.37397528803979019</v>
      </c>
      <c r="AA6" s="5">
        <f/>
        <v>26.04095639226259</v>
      </c>
      <c r="AB6" s="5">
        <f/>
        <v>1</v>
      </c>
      <c r="AC6" s="5">
        <f/>
        <v>50.239417474364373</v>
      </c>
      <c r="AG6" s="5">
        <f t="shared" si="5"/>
        <v>2.9179611482194412</v>
      </c>
      <c r="AH6" s="5">
        <f t="shared" si="6"/>
        <v>3.0479487616389394</v>
      </c>
      <c r="AI6" s="5">
        <f t="shared" si="7"/>
        <v>26.07935743963338</v>
      </c>
      <c r="AJ6" s="5">
        <f t="shared" si="8"/>
        <v>2</v>
      </c>
      <c r="AK6" s="9">
        <f t="shared" si="9"/>
        <v>50.259322163755137</v>
      </c>
    </row>
    <row r="7" ht="16.5">
      <c r="B7" s="10">
        <v>6</v>
      </c>
      <c r="C7" s="10">
        <v>1</v>
      </c>
      <c r="D7" s="10">
        <v>8</v>
      </c>
      <c r="E7" s="10">
        <v>9</v>
      </c>
      <c r="F7" s="10">
        <v>1</v>
      </c>
      <c r="I7" s="5">
        <f t="shared" si="0"/>
        <v>0.66666666666666663</v>
      </c>
      <c r="J7" s="5">
        <f t="shared" si="10"/>
        <v>0.0625</v>
      </c>
      <c r="K7" s="5">
        <f t="shared" si="1"/>
        <v>0.71287128712871295</v>
      </c>
      <c r="L7" s="5">
        <f t="shared" si="2"/>
        <v>0.42352941176470588</v>
      </c>
      <c r="M7" s="6">
        <f t="shared" si="3"/>
        <v>0.41618497109826591</v>
      </c>
      <c r="N7" s="7">
        <f t="shared" si="4"/>
        <v>0.45635046733167028</v>
      </c>
      <c r="Q7" s="5">
        <f>1/U3</f>
        <v>26.567492018660744</v>
      </c>
      <c r="R7" s="5">
        <f>1/U4</f>
        <v>3.7316352682089966</v>
      </c>
      <c r="S7" s="5">
        <f>1/U5</f>
        <v>15.433970002512424</v>
      </c>
      <c r="T7" s="5">
        <f>1/U6</f>
        <v>50.239417474364373</v>
      </c>
      <c r="U7" s="5">
        <v>1</v>
      </c>
      <c r="Y7" s="5">
        <f/>
        <v>0.037639984959724808</v>
      </c>
      <c r="Z7" s="5">
        <f/>
        <v>0.26797903013708818</v>
      </c>
      <c r="AA7" s="5">
        <f/>
        <v>0.064792143553292811</v>
      </c>
      <c r="AB7" s="5">
        <f/>
        <v>0.019904689390761132</v>
      </c>
      <c r="AC7" s="5">
        <f/>
        <v>1</v>
      </c>
      <c r="AG7" s="5">
        <f t="shared" si="5"/>
        <v>26.605132003620469</v>
      </c>
      <c r="AH7" s="5">
        <f t="shared" si="6"/>
        <v>3.999614298346085</v>
      </c>
      <c r="AI7" s="5">
        <f t="shared" si="7"/>
        <v>15.498762146065717</v>
      </c>
      <c r="AJ7" s="9">
        <f t="shared" si="8"/>
        <v>50.259322163755137</v>
      </c>
      <c r="AK7" s="5">
        <f t="shared" si="9"/>
        <v>2</v>
      </c>
    </row>
    <row r="8" ht="16.5">
      <c r="A8" s="2" t="s">
        <v>6</v>
      </c>
      <c r="B8" s="11">
        <f>SUM(B3:B7)</f>
        <v>9</v>
      </c>
      <c r="C8" s="11">
        <f>SUM(C3:C7)</f>
        <v>16</v>
      </c>
      <c r="D8" s="11">
        <f>SUM(D3:D7)</f>
        <v>11.222222222222221</v>
      </c>
      <c r="E8" s="11">
        <f>SUM(E3:E7)</f>
        <v>21.25</v>
      </c>
      <c r="F8" s="11">
        <f>SUM(F3:F7)</f>
        <v>2.4027777777777777</v>
      </c>
    </row>
    <row r="10" ht="16.5">
      <c r="B10" s="2" t="s">
        <v>7</v>
      </c>
      <c r="C10" s="2">
        <f>B8*N3+C8*N4+D8*N5+E8*N6+F8*N7</f>
        <v>8.3725104972752646</v>
      </c>
    </row>
    <row r="11" ht="16.5">
      <c r="B11" s="2" t="s">
        <v>8</v>
      </c>
      <c r="C11" s="2">
        <f>(C10-5)/4</f>
        <v>0.84312762431881616</v>
      </c>
    </row>
    <row r="12" ht="16.5">
      <c r="B12" s="2" t="s">
        <v>9</v>
      </c>
      <c r="C12" s="2">
        <f>C11/1.12</f>
        <v>0.75279252171322864</v>
      </c>
      <c r="H12" s="2" t="s">
        <v>10</v>
      </c>
    </row>
    <row r="16" ht="16.5">
      <c r="A16" s="2" t="s">
        <v>11</v>
      </c>
    </row>
    <row r="18" ht="16.5">
      <c r="B18" s="2" t="s">
        <v>1</v>
      </c>
      <c r="H18" s="2" t="s">
        <v>2</v>
      </c>
      <c r="N18" s="3" t="s">
        <v>3</v>
      </c>
    </row>
    <row r="19" ht="16.5">
      <c r="B19" s="4">
        <v>1</v>
      </c>
      <c r="C19" s="4">
        <v>1</v>
      </c>
      <c r="D19" s="4">
        <v>2</v>
      </c>
      <c r="E19" s="4">
        <v>2</v>
      </c>
      <c r="F19" s="4">
        <v>0.16666666666666671</v>
      </c>
      <c r="I19" s="5">
        <f t="shared" ref="I19:I76" si="11">B19/$B$8</f>
        <v>0.1111111111111111</v>
      </c>
      <c r="J19" s="5">
        <f t="shared" ref="J19:J76" si="12">C19/$C$8</f>
        <v>0.0625</v>
      </c>
      <c r="K19" s="5">
        <f t="shared" ref="K19:K76" si="13">D19/$D$8</f>
        <v>0.17821782178217824</v>
      </c>
      <c r="L19" s="5">
        <f t="shared" ref="L19:L76" si="14">E19/$E$8</f>
        <v>0.094117647058823528</v>
      </c>
      <c r="M19" s="6">
        <f t="shared" ref="M19:M76" si="15">F19/$F$8</f>
        <v>0.069364161849711004</v>
      </c>
      <c r="N19" s="7">
        <f t="shared" ref="N19:N76" si="16">AVERAGE(I19:M19)</f>
        <v>0.10306214836036479</v>
      </c>
      <c r="Q19" s="5">
        <v>1</v>
      </c>
      <c r="R19" s="5">
        <f>(C19*$N$3)/N20</f>
        <v>0.84275217222339205</v>
      </c>
      <c r="S19" s="5">
        <f>(D19*$N$3)/N21</f>
        <v>0.87140159814511753</v>
      </c>
      <c r="T19" s="5">
        <f>(E19*$N$3)/N22</f>
        <v>1.3235148750931518</v>
      </c>
      <c r="U19" s="5">
        <f>(F19*$N$3)/N23</f>
        <v>0.045077387480734442</v>
      </c>
      <c r="Y19" s="5">
        <f t="array" ref="Y19:AC23">TRANSPOSE(Q19:U23)</f>
        <v>1</v>
      </c>
      <c r="Z19" s="5">
        <f/>
        <v>1.1865884573892569</v>
      </c>
      <c r="AA19" s="5">
        <f/>
        <v>1.147576504482686</v>
      </c>
      <c r="AB19" s="5">
        <f/>
        <v>0.75556385411204252</v>
      </c>
      <c r="AC19" s="5">
        <f/>
        <v>22.184071790482289</v>
      </c>
      <c r="AG19" s="5">
        <f t="shared" ref="AG19:AG76" si="17">Q19+Y19</f>
        <v>2</v>
      </c>
      <c r="AH19" s="5">
        <f t="shared" ref="AH19:AH76" si="18">R19+Z19</f>
        <v>2.029340629612649</v>
      </c>
      <c r="AI19" s="5">
        <f t="shared" ref="AI19:AI76" si="19">S19+AA19</f>
        <v>2.0189781026278038</v>
      </c>
      <c r="AJ19" s="5">
        <f t="shared" ref="AJ19:AJ76" si="20">T19+AB19</f>
        <v>2.0790787292051944</v>
      </c>
      <c r="AK19" s="9">
        <f t="shared" ref="AK19:AK76" si="21">U19+AC19</f>
        <v>22.229149177963023</v>
      </c>
    </row>
    <row r="20" ht="16.5">
      <c r="B20" s="4">
        <v>1</v>
      </c>
      <c r="C20" s="4">
        <v>1</v>
      </c>
      <c r="D20" s="4">
        <v>0.1111111111111111</v>
      </c>
      <c r="E20" s="4">
        <v>0.25</v>
      </c>
      <c r="F20" s="4">
        <v>1</v>
      </c>
      <c r="I20" s="5">
        <f t="shared" si="11"/>
        <v>0.1111111111111111</v>
      </c>
      <c r="J20" s="5">
        <f t="shared" si="12"/>
        <v>0.0625</v>
      </c>
      <c r="K20" s="5">
        <f t="shared" si="13"/>
        <v>0.0099009900990099011</v>
      </c>
      <c r="L20" s="5">
        <f t="shared" si="14"/>
        <v>0.011764705882352941</v>
      </c>
      <c r="M20" s="6">
        <f t="shared" si="15"/>
        <v>0.41618497109826591</v>
      </c>
      <c r="N20" s="7">
        <f t="shared" si="16"/>
        <v>0.12229235563814797</v>
      </c>
      <c r="Q20" s="5">
        <f>1/R19</f>
        <v>1.1865884573892567</v>
      </c>
      <c r="R20" s="5">
        <v>1</v>
      </c>
      <c r="S20" s="5">
        <f>(D20*$N$4)/N21</f>
        <v>0.057444171006086002</v>
      </c>
      <c r="T20" s="5">
        <f>(E20*$N$4)/N22</f>
        <v>0.19630843424606473</v>
      </c>
      <c r="U20" s="5">
        <f>(F20*$N$4)/N23</f>
        <v>0.32092984604341479</v>
      </c>
      <c r="Y20" s="5">
        <f/>
        <v>0.84275217222339183</v>
      </c>
      <c r="Z20" s="5">
        <f/>
        <v>1</v>
      </c>
      <c r="AA20" s="5">
        <f/>
        <v>17.40820665501559</v>
      </c>
      <c r="AB20" s="5">
        <f/>
        <v>5.0940246344512126</v>
      </c>
      <c r="AC20" s="5">
        <f/>
        <v>3.1159457816981031</v>
      </c>
      <c r="AG20" s="5">
        <f t="shared" si="17"/>
        <v>2.0293406296126486</v>
      </c>
      <c r="AH20" s="5">
        <f t="shared" si="18"/>
        <v>2</v>
      </c>
      <c r="AI20" s="5">
        <f t="shared" si="19"/>
        <v>17.465650826021676</v>
      </c>
      <c r="AJ20" s="5">
        <f t="shared" si="20"/>
        <v>5.2903330686972776</v>
      </c>
      <c r="AK20" s="5">
        <f t="shared" si="21"/>
        <v>3.436875627741518</v>
      </c>
    </row>
    <row r="21" ht="26.25" customHeight="1">
      <c r="B21" s="4">
        <v>0.5</v>
      </c>
      <c r="C21" s="4">
        <v>9</v>
      </c>
      <c r="D21" s="4">
        <v>1</v>
      </c>
      <c r="E21" s="4">
        <v>9</v>
      </c>
      <c r="F21" s="4">
        <v>0.125</v>
      </c>
      <c r="I21" s="5">
        <f t="shared" si="11"/>
        <v>0.055555555555555552</v>
      </c>
      <c r="J21" s="5">
        <f t="shared" si="12"/>
        <v>0.5625</v>
      </c>
      <c r="K21" s="5">
        <f t="shared" si="13"/>
        <v>0.089108910891089119</v>
      </c>
      <c r="L21" s="5">
        <f t="shared" si="14"/>
        <v>0.42352941176470588</v>
      </c>
      <c r="M21" s="6">
        <f t="shared" si="15"/>
        <v>0.052023121387283239</v>
      </c>
      <c r="N21" s="7">
        <f t="shared" si="16"/>
        <v>0.23654339991972675</v>
      </c>
      <c r="Q21" s="5">
        <f>1/S19</f>
        <v>1.1475765044826858</v>
      </c>
      <c r="R21" s="5">
        <f>1/S20</f>
        <v>17.40820665501559</v>
      </c>
      <c r="S21" s="5">
        <v>1</v>
      </c>
      <c r="T21" s="5">
        <f>(E21*$N$5)/N22</f>
        <v>13.669511165912137</v>
      </c>
      <c r="U21" s="5">
        <f>(F21*$N$5)/N23</f>
        <v>0.077594626134529193</v>
      </c>
      <c r="W21" s="8" t="s">
        <v>4</v>
      </c>
      <c r="Y21" s="5">
        <f/>
        <v>0.87140159814511731</v>
      </c>
      <c r="Z21" s="5">
        <f/>
        <v>0.057444171006086002</v>
      </c>
      <c r="AA21" s="5">
        <f/>
        <v>1</v>
      </c>
      <c r="AB21" s="5">
        <f/>
        <v>0.073155505552657568</v>
      </c>
      <c r="AC21" s="5">
        <f/>
        <v>12.88749040772819</v>
      </c>
      <c r="AE21" s="8" t="s">
        <v>5</v>
      </c>
      <c r="AG21" s="5">
        <f t="shared" si="17"/>
        <v>2.0189781026278029</v>
      </c>
      <c r="AH21" s="5">
        <f t="shared" si="18"/>
        <v>17.465650826021676</v>
      </c>
      <c r="AI21" s="5">
        <f t="shared" si="19"/>
        <v>2</v>
      </c>
      <c r="AJ21" s="5">
        <f t="shared" si="20"/>
        <v>13.742666671464795</v>
      </c>
      <c r="AK21" s="5">
        <f t="shared" si="21"/>
        <v>12.965085033862719</v>
      </c>
    </row>
    <row r="22" ht="16.5">
      <c r="B22" s="4">
        <v>0.5</v>
      </c>
      <c r="C22" s="4">
        <v>4</v>
      </c>
      <c r="D22" s="4">
        <v>0.1111111111111111</v>
      </c>
      <c r="E22" s="4">
        <v>1</v>
      </c>
      <c r="F22" s="4">
        <v>1</v>
      </c>
      <c r="I22" s="5">
        <f t="shared" si="11"/>
        <v>0.055555555555555552</v>
      </c>
      <c r="J22" s="5">
        <f t="shared" si="12"/>
        <v>0.25</v>
      </c>
      <c r="K22" s="5">
        <f t="shared" si="13"/>
        <v>0.0099009900990099011</v>
      </c>
      <c r="L22" s="5">
        <f t="shared" si="14"/>
        <v>0.047058823529411764</v>
      </c>
      <c r="M22" s="6">
        <f t="shared" si="15"/>
        <v>0.41618497109826591</v>
      </c>
      <c r="N22" s="7">
        <f t="shared" si="16"/>
        <v>0.15574006805644863</v>
      </c>
      <c r="Q22" s="5">
        <f>1/T19</f>
        <v>0.7555638541120423</v>
      </c>
      <c r="R22" s="5">
        <f>1/T20</f>
        <v>5.0940246344512135</v>
      </c>
      <c r="S22" s="5">
        <f>1/T21</f>
        <v>0.073155505552657568</v>
      </c>
      <c r="T22" s="5">
        <v>1</v>
      </c>
      <c r="U22" s="5">
        <f>(F22*$N$6)/N23</f>
        <v>0.21453947380158747</v>
      </c>
      <c r="Y22" s="5">
        <f/>
        <v>1.3235148750931509</v>
      </c>
      <c r="Z22" s="5">
        <f/>
        <v>0.1963084342460647</v>
      </c>
      <c r="AA22" s="5">
        <f/>
        <v>13.669511165912141</v>
      </c>
      <c r="AB22" s="5">
        <f/>
        <v>1</v>
      </c>
      <c r="AC22" s="5">
        <f/>
        <v>4.6611468849076694</v>
      </c>
      <c r="AG22" s="5">
        <f t="shared" si="17"/>
        <v>2.0790787292051931</v>
      </c>
      <c r="AH22" s="5">
        <f t="shared" si="18"/>
        <v>5.2903330686972785</v>
      </c>
      <c r="AI22" s="5">
        <f t="shared" si="19"/>
        <v>13.742666671464798</v>
      </c>
      <c r="AJ22" s="5">
        <f t="shared" si="20"/>
        <v>2</v>
      </c>
      <c r="AK22" s="5">
        <f t="shared" si="21"/>
        <v>4.8756863587092569</v>
      </c>
    </row>
    <row r="23" ht="16.5">
      <c r="B23" s="10">
        <v>6</v>
      </c>
      <c r="C23" s="10">
        <v>1</v>
      </c>
      <c r="D23" s="10">
        <v>8</v>
      </c>
      <c r="E23" s="10">
        <v>1</v>
      </c>
      <c r="F23" s="10">
        <v>1</v>
      </c>
      <c r="I23" s="5">
        <f t="shared" si="11"/>
        <v>0.66666666666666663</v>
      </c>
      <c r="J23" s="5">
        <f t="shared" si="12"/>
        <v>0.0625</v>
      </c>
      <c r="K23" s="5">
        <f t="shared" si="13"/>
        <v>0.71287128712871295</v>
      </c>
      <c r="L23" s="5">
        <f t="shared" si="14"/>
        <v>0.047058823529411764</v>
      </c>
      <c r="M23" s="6">
        <f t="shared" si="15"/>
        <v>0.41618497109826591</v>
      </c>
      <c r="N23" s="7">
        <f t="shared" si="16"/>
        <v>0.38105634968461144</v>
      </c>
      <c r="Q23" s="5">
        <f>1/U19</f>
        <v>22.184071790482278</v>
      </c>
      <c r="R23" s="5">
        <f>1/U20</f>
        <v>3.1159457816981031</v>
      </c>
      <c r="S23" s="5">
        <f>1/U21</f>
        <v>12.887490407728189</v>
      </c>
      <c r="T23" s="5">
        <f>1/U22</f>
        <v>4.6611468849076694</v>
      </c>
      <c r="U23" s="5">
        <v>1</v>
      </c>
      <c r="Y23" s="5">
        <f/>
        <v>0.045077387480734407</v>
      </c>
      <c r="Z23" s="5">
        <f/>
        <v>0.32092984604341479</v>
      </c>
      <c r="AA23" s="5">
        <f/>
        <v>0.077594626134529193</v>
      </c>
      <c r="AB23" s="5">
        <f/>
        <v>0.2145394738015875</v>
      </c>
      <c r="AC23" s="5">
        <f/>
        <v>1</v>
      </c>
      <c r="AG23" s="9">
        <f t="shared" si="17"/>
        <v>22.229149177963013</v>
      </c>
      <c r="AH23" s="5">
        <f t="shared" si="18"/>
        <v>3.436875627741518</v>
      </c>
      <c r="AI23" s="5">
        <f t="shared" si="19"/>
        <v>12.965085033862717</v>
      </c>
      <c r="AJ23" s="5">
        <f t="shared" si="20"/>
        <v>4.8756863587092569</v>
      </c>
      <c r="AK23" s="5">
        <f t="shared" si="21"/>
        <v>2</v>
      </c>
    </row>
    <row r="24" ht="16.5">
      <c r="A24" s="2" t="s">
        <v>6</v>
      </c>
      <c r="B24" s="11">
        <f>SUM(B19:B23)</f>
        <v>9</v>
      </c>
      <c r="C24" s="11">
        <f>SUM(C19:C23)</f>
        <v>16</v>
      </c>
      <c r="D24" s="11">
        <f>SUM(D19:D23)</f>
        <v>11.222222222222221</v>
      </c>
      <c r="E24" s="11">
        <f>SUM(E19:E23)</f>
        <v>13.25</v>
      </c>
      <c r="F24" s="11">
        <f>SUM(F19:F23)</f>
        <v>3.291666666666667</v>
      </c>
    </row>
    <row r="26" ht="16.5">
      <c r="B26" s="2" t="s">
        <v>7</v>
      </c>
      <c r="C26" s="2">
        <f>B24*N19+C24*N20+D24*N21+E24*N22+F24*N23</f>
        <v>8.8566460106792633</v>
      </c>
    </row>
    <row r="27" ht="16.5">
      <c r="B27" s="2" t="s">
        <v>8</v>
      </c>
      <c r="C27" s="2">
        <f>(C26-5)/4</f>
        <v>0.96416150266981582</v>
      </c>
    </row>
    <row r="28" ht="16.5">
      <c r="B28" s="2" t="s">
        <v>9</v>
      </c>
      <c r="C28" s="2">
        <f>C27/1.12</f>
        <v>0.86085848452662117</v>
      </c>
      <c r="H28" s="2" t="s">
        <v>10</v>
      </c>
    </row>
    <row r="34" ht="16.5">
      <c r="A34" s="2" t="s">
        <v>12</v>
      </c>
    </row>
    <row r="36" ht="16.5">
      <c r="B36" s="2" t="s">
        <v>1</v>
      </c>
      <c r="H36" s="2" t="s">
        <v>2</v>
      </c>
      <c r="N36" s="3" t="s">
        <v>3</v>
      </c>
    </row>
    <row r="37" ht="16.5">
      <c r="B37" s="4">
        <v>1</v>
      </c>
      <c r="C37" s="4">
        <v>1</v>
      </c>
      <c r="D37" s="4">
        <v>2</v>
      </c>
      <c r="E37" s="4">
        <v>2</v>
      </c>
      <c r="F37" s="4">
        <v>1</v>
      </c>
      <c r="I37" s="5">
        <f t="shared" si="11"/>
        <v>0.1111111111111111</v>
      </c>
      <c r="J37" s="5">
        <f t="shared" si="12"/>
        <v>0.0625</v>
      </c>
      <c r="K37" s="5">
        <f t="shared" si="13"/>
        <v>0.17821782178217824</v>
      </c>
      <c r="L37" s="5">
        <f t="shared" si="14"/>
        <v>0.094117647058823528</v>
      </c>
      <c r="M37" s="6">
        <f t="shared" si="15"/>
        <v>0.41618497109826591</v>
      </c>
      <c r="N37" s="7">
        <f t="shared" si="16"/>
        <v>0.17242631021007576</v>
      </c>
      <c r="Q37" s="5">
        <v>1</v>
      </c>
      <c r="R37" s="5">
        <f>(C37*$N$3)/N38</f>
        <v>0.84275217222339205</v>
      </c>
      <c r="S37" s="5">
        <f>(D37*$N$3)/N39</f>
        <v>0.87140159814511753</v>
      </c>
      <c r="T37" s="5">
        <f>(E37*$N$3)/N40</f>
        <v>1.3235148750931518</v>
      </c>
      <c r="U37" s="5">
        <f>(F37*$N$3)/N41</f>
        <v>0.38178909509568237</v>
      </c>
      <c r="Y37" s="5">
        <f t="array" ref="Y37:AC41">TRANSPOSE(Q37:U41)</f>
        <v>1</v>
      </c>
      <c r="Z37" s="5">
        <f/>
        <v>1.1865884573892569</v>
      </c>
      <c r="AA37" s="5">
        <f/>
        <v>1.147576504482686</v>
      </c>
      <c r="AB37" s="5">
        <f/>
        <v>0.75556385411204252</v>
      </c>
      <c r="AC37" s="5">
        <f/>
        <v>2.6192471520156548</v>
      </c>
      <c r="AG37" s="5">
        <f t="shared" si="17"/>
        <v>2</v>
      </c>
      <c r="AH37" s="5">
        <f t="shared" si="18"/>
        <v>2.029340629612649</v>
      </c>
      <c r="AI37" s="5">
        <f t="shared" si="19"/>
        <v>2.0189781026278038</v>
      </c>
      <c r="AJ37" s="5">
        <f t="shared" si="20"/>
        <v>2.0790787292051944</v>
      </c>
      <c r="AK37" s="5">
        <f t="shared" si="21"/>
        <v>3.0010362471113372</v>
      </c>
    </row>
    <row r="38" ht="16.5">
      <c r="B38" s="4">
        <v>1</v>
      </c>
      <c r="C38" s="4">
        <v>1</v>
      </c>
      <c r="D38" s="4">
        <v>0.1111111111111111</v>
      </c>
      <c r="E38" s="4">
        <v>0.25</v>
      </c>
      <c r="F38" s="4">
        <v>1</v>
      </c>
      <c r="I38" s="5">
        <f t="shared" si="11"/>
        <v>0.1111111111111111</v>
      </c>
      <c r="J38" s="5">
        <f t="shared" si="12"/>
        <v>0.0625</v>
      </c>
      <c r="K38" s="5">
        <f t="shared" si="13"/>
        <v>0.0099009900990099011</v>
      </c>
      <c r="L38" s="5">
        <f t="shared" si="14"/>
        <v>0.011764705882352941</v>
      </c>
      <c r="M38" s="6">
        <f t="shared" si="15"/>
        <v>0.41618497109826591</v>
      </c>
      <c r="N38" s="7">
        <f t="shared" si="16"/>
        <v>0.12229235563814797</v>
      </c>
      <c r="Q38" s="5">
        <f>1/R37</f>
        <v>1.1865884573892567</v>
      </c>
      <c r="R38" s="5">
        <v>1</v>
      </c>
      <c r="S38" s="5">
        <f>(D38*$N$4)/N39</f>
        <v>0.057444171006086002</v>
      </c>
      <c r="T38" s="5">
        <f>(E38*$N$4)/N40</f>
        <v>0.19630843424606473</v>
      </c>
      <c r="U38" s="5">
        <f>(F38*$N$4)/N41</f>
        <v>0.453026533397626</v>
      </c>
      <c r="Y38" s="5">
        <f/>
        <v>0.84275217222339183</v>
      </c>
      <c r="Z38" s="5">
        <f/>
        <v>1</v>
      </c>
      <c r="AA38" s="5">
        <f/>
        <v>17.40820665501559</v>
      </c>
      <c r="AB38" s="5">
        <f/>
        <v>5.0940246344512126</v>
      </c>
      <c r="AC38" s="5">
        <f/>
        <v>2.2073762269511259</v>
      </c>
      <c r="AG38" s="5">
        <f t="shared" si="17"/>
        <v>2.0293406296126486</v>
      </c>
      <c r="AH38" s="5">
        <f t="shared" si="18"/>
        <v>2</v>
      </c>
      <c r="AI38" s="9">
        <f t="shared" si="19"/>
        <v>17.465650826021676</v>
      </c>
      <c r="AJ38" s="5">
        <f t="shared" si="20"/>
        <v>5.2903330686972776</v>
      </c>
      <c r="AK38" s="5">
        <f t="shared" si="21"/>
        <v>2.6604027603487519</v>
      </c>
    </row>
    <row r="39" ht="26.25" customHeight="1">
      <c r="B39" s="4">
        <v>0.5</v>
      </c>
      <c r="C39" s="4">
        <v>9</v>
      </c>
      <c r="D39" s="4">
        <v>1</v>
      </c>
      <c r="E39" s="4">
        <v>9</v>
      </c>
      <c r="F39" s="4">
        <v>0.125</v>
      </c>
      <c r="I39" s="5">
        <f t="shared" si="11"/>
        <v>0.055555555555555552</v>
      </c>
      <c r="J39" s="5">
        <f t="shared" si="12"/>
        <v>0.5625</v>
      </c>
      <c r="K39" s="5">
        <f t="shared" si="13"/>
        <v>0.089108910891089119</v>
      </c>
      <c r="L39" s="5">
        <f t="shared" si="14"/>
        <v>0.42352941176470588</v>
      </c>
      <c r="M39" s="6">
        <f t="shared" si="15"/>
        <v>0.052023121387283239</v>
      </c>
      <c r="N39" s="7">
        <f t="shared" si="16"/>
        <v>0.23654339991972675</v>
      </c>
      <c r="Q39" s="5">
        <f>1/S37</f>
        <v>1.1475765044826858</v>
      </c>
      <c r="R39" s="5">
        <f>1/S38</f>
        <v>17.40820665501559</v>
      </c>
      <c r="S39" s="5">
        <v>1</v>
      </c>
      <c r="T39" s="5">
        <f>(E39*$N$5)/N40</f>
        <v>13.669511165912137</v>
      </c>
      <c r="U39" s="5">
        <f>(F39*$N$5)/N41</f>
        <v>0.10953304879987771</v>
      </c>
      <c r="W39" s="8" t="s">
        <v>4</v>
      </c>
      <c r="Y39" s="5">
        <f/>
        <v>0.87140159814511731</v>
      </c>
      <c r="Z39" s="5">
        <f/>
        <v>0.057444171006086002</v>
      </c>
      <c r="AA39" s="5">
        <f/>
        <v>1</v>
      </c>
      <c r="AB39" s="5">
        <f/>
        <v>0.073155505552657568</v>
      </c>
      <c r="AC39" s="5">
        <f/>
        <v>9.1296646168139564</v>
      </c>
      <c r="AE39" s="8" t="s">
        <v>5</v>
      </c>
      <c r="AG39" s="5">
        <f t="shared" si="17"/>
        <v>2.0189781026278029</v>
      </c>
      <c r="AH39" s="9">
        <f t="shared" si="18"/>
        <v>17.465650826021676</v>
      </c>
      <c r="AI39" s="5">
        <f t="shared" si="19"/>
        <v>2</v>
      </c>
      <c r="AJ39" s="5">
        <f t="shared" si="20"/>
        <v>13.742666671464795</v>
      </c>
      <c r="AK39" s="5">
        <f t="shared" si="21"/>
        <v>9.2391976656138333</v>
      </c>
    </row>
    <row r="40" ht="16.5">
      <c r="B40" s="4">
        <v>0.5</v>
      </c>
      <c r="C40" s="4">
        <v>4</v>
      </c>
      <c r="D40" s="4">
        <v>0.1111111111111111</v>
      </c>
      <c r="E40" s="4">
        <v>1</v>
      </c>
      <c r="F40" s="4">
        <v>1</v>
      </c>
      <c r="I40" s="5">
        <f t="shared" si="11"/>
        <v>0.055555555555555552</v>
      </c>
      <c r="J40" s="5">
        <f t="shared" si="12"/>
        <v>0.25</v>
      </c>
      <c r="K40" s="5">
        <f t="shared" si="13"/>
        <v>0.0099009900990099011</v>
      </c>
      <c r="L40" s="5">
        <f t="shared" si="14"/>
        <v>0.047058823529411764</v>
      </c>
      <c r="M40" s="6">
        <f t="shared" si="15"/>
        <v>0.41618497109826591</v>
      </c>
      <c r="N40" s="7">
        <f t="shared" si="16"/>
        <v>0.15574006805644863</v>
      </c>
      <c r="Q40" s="5">
        <f>1/T37</f>
        <v>0.7555638541120423</v>
      </c>
      <c r="R40" s="5">
        <f>1/T38</f>
        <v>5.0940246344512135</v>
      </c>
      <c r="S40" s="5">
        <f>1/T39</f>
        <v>0.073155505552657568</v>
      </c>
      <c r="T40" s="5">
        <v>1</v>
      </c>
      <c r="U40" s="5">
        <f>(F40*$N$6)/N41</f>
        <v>0.3028452332854577</v>
      </c>
      <c r="Y40" s="5">
        <f/>
        <v>1.3235148750931509</v>
      </c>
      <c r="Z40" s="5">
        <f/>
        <v>0.1963084342460647</v>
      </c>
      <c r="AA40" s="5">
        <f/>
        <v>13.669511165912141</v>
      </c>
      <c r="AB40" s="5">
        <f/>
        <v>1</v>
      </c>
      <c r="AC40" s="5">
        <f/>
        <v>3.302016641144931</v>
      </c>
      <c r="AG40" s="5">
        <f t="shared" si="17"/>
        <v>2.0790787292051931</v>
      </c>
      <c r="AH40" s="5">
        <f t="shared" si="18"/>
        <v>5.2903330686972785</v>
      </c>
      <c r="AI40" s="5">
        <f t="shared" si="19"/>
        <v>13.742666671464798</v>
      </c>
      <c r="AJ40" s="5">
        <f t="shared" si="20"/>
        <v>2</v>
      </c>
      <c r="AK40" s="5">
        <f t="shared" si="21"/>
        <v>3.6048618744303886</v>
      </c>
    </row>
    <row r="41" ht="16.5">
      <c r="B41" s="10">
        <v>1</v>
      </c>
      <c r="C41" s="10">
        <v>1</v>
      </c>
      <c r="D41" s="10">
        <v>8</v>
      </c>
      <c r="E41" s="10">
        <v>1</v>
      </c>
      <c r="F41" s="10">
        <v>1</v>
      </c>
      <c r="I41" s="5">
        <f t="shared" si="11"/>
        <v>0.1111111111111111</v>
      </c>
      <c r="J41" s="5">
        <f t="shared" si="12"/>
        <v>0.0625</v>
      </c>
      <c r="K41" s="5">
        <f t="shared" si="13"/>
        <v>0.71287128712871295</v>
      </c>
      <c r="L41" s="5">
        <f t="shared" si="14"/>
        <v>0.047058823529411764</v>
      </c>
      <c r="M41" s="6">
        <f t="shared" si="15"/>
        <v>0.41618497109826591</v>
      </c>
      <c r="N41" s="7">
        <f t="shared" si="16"/>
        <v>0.26994523857350033</v>
      </c>
      <c r="Q41" s="5">
        <f>1/U37</f>
        <v>2.6192471520156548</v>
      </c>
      <c r="R41" s="5">
        <f>1/U38</f>
        <v>2.2073762269511263</v>
      </c>
      <c r="S41" s="5">
        <f>1/U39</f>
        <v>9.1296646168139564</v>
      </c>
      <c r="T41" s="5">
        <f>1/U40</f>
        <v>3.3020166411449305</v>
      </c>
      <c r="U41" s="5">
        <v>1</v>
      </c>
      <c r="Y41" s="5">
        <f/>
        <v>0.38178909509568232</v>
      </c>
      <c r="Z41" s="5">
        <f/>
        <v>0.453026533397626</v>
      </c>
      <c r="AA41" s="5">
        <f/>
        <v>0.1095330487998777</v>
      </c>
      <c r="AB41" s="5">
        <f/>
        <v>0.3028452332854577</v>
      </c>
      <c r="AC41" s="5">
        <f/>
        <v>1</v>
      </c>
      <c r="AG41" s="5">
        <f t="shared" si="17"/>
        <v>3.0010362471113372</v>
      </c>
      <c r="AH41" s="5">
        <f t="shared" si="18"/>
        <v>2.6604027603487523</v>
      </c>
      <c r="AI41" s="5">
        <f t="shared" si="19"/>
        <v>9.2391976656138333</v>
      </c>
      <c r="AJ41" s="5">
        <f t="shared" si="20"/>
        <v>3.6048618744303882</v>
      </c>
      <c r="AK41" s="5">
        <f t="shared" si="21"/>
        <v>2</v>
      </c>
    </row>
    <row r="42" ht="16.5">
      <c r="A42" s="2" t="s">
        <v>6</v>
      </c>
      <c r="B42" s="11">
        <f>SUM(B37:B41)</f>
        <v>4</v>
      </c>
      <c r="C42" s="11">
        <f>SUM(C37:C41)</f>
        <v>16</v>
      </c>
      <c r="D42" s="11">
        <f>SUM(D37:D41)</f>
        <v>11.222222222222221</v>
      </c>
      <c r="E42" s="11">
        <f>SUM(E37:E41)</f>
        <v>13.25</v>
      </c>
      <c r="F42" s="11">
        <f>SUM(F37:F41)</f>
        <v>4.125</v>
      </c>
    </row>
    <row r="44" ht="16.5">
      <c r="B44" s="2" t="s">
        <v>7</v>
      </c>
      <c r="C44" s="2">
        <f>B42*N37+C42*N38+D42*N39+E42*N40+F42*N41</f>
        <v>8.4780055410134594</v>
      </c>
    </row>
    <row r="45" ht="16.5">
      <c r="B45" s="2" t="s">
        <v>8</v>
      </c>
      <c r="C45" s="2">
        <f>(C44-5)/4</f>
        <v>0.86950138525336484</v>
      </c>
    </row>
    <row r="46" ht="16.5">
      <c r="B46" s="2" t="s">
        <v>9</v>
      </c>
      <c r="C46" s="2">
        <f>C45/1.12</f>
        <v>0.77634052254764707</v>
      </c>
      <c r="H46" s="2" t="s">
        <v>10</v>
      </c>
    </row>
    <row r="51" ht="16.5">
      <c r="A51" s="2" t="s">
        <v>13</v>
      </c>
    </row>
    <row r="53" ht="16.5">
      <c r="B53" s="2" t="s">
        <v>1</v>
      </c>
      <c r="H53" s="2" t="s">
        <v>2</v>
      </c>
      <c r="N53" s="3" t="s">
        <v>3</v>
      </c>
    </row>
    <row r="54" ht="16.5">
      <c r="B54" s="4">
        <v>1</v>
      </c>
      <c r="C54" s="4">
        <v>1</v>
      </c>
      <c r="D54" s="4">
        <v>2</v>
      </c>
      <c r="E54" s="4">
        <v>2</v>
      </c>
      <c r="F54" s="4">
        <v>1</v>
      </c>
      <c r="I54" s="5">
        <f t="shared" si="11"/>
        <v>0.1111111111111111</v>
      </c>
      <c r="J54" s="5">
        <f t="shared" si="12"/>
        <v>0.0625</v>
      </c>
      <c r="K54" s="5">
        <f t="shared" si="13"/>
        <v>0.17821782178217824</v>
      </c>
      <c r="L54" s="5">
        <f t="shared" si="14"/>
        <v>0.094117647058823528</v>
      </c>
      <c r="M54" s="6">
        <f t="shared" si="15"/>
        <v>0.41618497109826591</v>
      </c>
      <c r="N54" s="7">
        <f t="shared" si="16"/>
        <v>0.17242631021007576</v>
      </c>
      <c r="Q54" s="5">
        <v>1</v>
      </c>
      <c r="R54" s="5">
        <f>(C54*$N$3)/N55</f>
        <v>0.74610301068766394</v>
      </c>
      <c r="S54" s="5">
        <f>(D54*$N$3)/N56</f>
        <v>1.5095881371191073</v>
      </c>
      <c r="T54" s="5">
        <f>(E54*$N$3)/N57</f>
        <v>1.3235148750931518</v>
      </c>
      <c r="U54" s="5">
        <f>(F54*$N$3)/N58</f>
        <v>0.38178909509568237</v>
      </c>
      <c r="Y54" s="5">
        <f t="array" ref="Y54:AC58">TRANSPOSE(Q54:U58)</f>
        <v>1</v>
      </c>
      <c r="Z54" s="5">
        <f/>
        <v>1.34029750004403</v>
      </c>
      <c r="AA54" s="5">
        <f/>
        <v>0.66243233860355899</v>
      </c>
      <c r="AB54" s="5">
        <f/>
        <v>0.75556385411204252</v>
      </c>
      <c r="AC54" s="5">
        <f/>
        <v>2.6192471520156548</v>
      </c>
      <c r="AG54" s="5">
        <f t="shared" si="17"/>
        <v>2</v>
      </c>
      <c r="AH54" s="5">
        <f t="shared" si="18"/>
        <v>2.0864005107316941</v>
      </c>
      <c r="AI54" s="5">
        <f t="shared" si="19"/>
        <v>2.1720204757226664</v>
      </c>
      <c r="AJ54" s="5">
        <f t="shared" si="20"/>
        <v>2.0790787292051944</v>
      </c>
      <c r="AK54" s="5">
        <f t="shared" si="21"/>
        <v>3.0010362471113372</v>
      </c>
    </row>
    <row r="55" ht="16.5">
      <c r="B55" s="4">
        <v>1</v>
      </c>
      <c r="C55" s="4">
        <v>1</v>
      </c>
      <c r="D55" s="4">
        <v>1</v>
      </c>
      <c r="E55" s="4">
        <v>0.25</v>
      </c>
      <c r="F55" s="4">
        <v>1</v>
      </c>
      <c r="I55" s="5">
        <f t="shared" si="11"/>
        <v>0.1111111111111111</v>
      </c>
      <c r="J55" s="5">
        <f t="shared" si="12"/>
        <v>0.0625</v>
      </c>
      <c r="K55" s="5">
        <f t="shared" si="13"/>
        <v>0.089108910891089119</v>
      </c>
      <c r="L55" s="5">
        <f t="shared" si="14"/>
        <v>0.011764705882352941</v>
      </c>
      <c r="M55" s="6">
        <f t="shared" si="15"/>
        <v>0.41618497109826591</v>
      </c>
      <c r="N55" s="7">
        <f t="shared" si="16"/>
        <v>0.13813393979656383</v>
      </c>
      <c r="Q55" s="5">
        <f>1/R54</f>
        <v>1.3402975000440298</v>
      </c>
      <c r="R55" s="5">
        <v>1</v>
      </c>
      <c r="S55" s="5">
        <f>(D55*$N$4)/N56</f>
        <v>0.89562992945864173</v>
      </c>
      <c r="T55" s="5">
        <f>(E55*$N$4)/N57</f>
        <v>0.19630843424606473</v>
      </c>
      <c r="U55" s="5">
        <f>(F55*$N$4)/N58</f>
        <v>0.453026533397626</v>
      </c>
      <c r="Y55" s="5">
        <f/>
        <v>0.74610301068766371</v>
      </c>
      <c r="Z55" s="5">
        <f/>
        <v>1</v>
      </c>
      <c r="AA55" s="5">
        <f/>
        <v>1.1165325846183409</v>
      </c>
      <c r="AB55" s="5">
        <f/>
        <v>5.0940246344512126</v>
      </c>
      <c r="AC55" s="5">
        <f/>
        <v>2.2073762269511259</v>
      </c>
      <c r="AG55" s="5">
        <f t="shared" si="17"/>
        <v>2.0864005107316936</v>
      </c>
      <c r="AH55" s="5">
        <f t="shared" si="18"/>
        <v>2</v>
      </c>
      <c r="AI55" s="5">
        <f t="shared" si="19"/>
        <v>2.0121625140769828</v>
      </c>
      <c r="AJ55" s="5">
        <f t="shared" si="20"/>
        <v>5.2903330686972776</v>
      </c>
      <c r="AK55" s="5">
        <f t="shared" si="21"/>
        <v>2.6604027603487519</v>
      </c>
    </row>
    <row r="56" ht="26.25" customHeight="1">
      <c r="B56" s="4">
        <v>0.5</v>
      </c>
      <c r="C56" s="4">
        <v>1</v>
      </c>
      <c r="D56" s="4">
        <v>1</v>
      </c>
      <c r="E56" s="4">
        <v>9</v>
      </c>
      <c r="F56" s="4">
        <v>0.125</v>
      </c>
      <c r="I56" s="5">
        <f t="shared" si="11"/>
        <v>0.055555555555555552</v>
      </c>
      <c r="J56" s="5">
        <f t="shared" si="12"/>
        <v>0.0625</v>
      </c>
      <c r="K56" s="5">
        <f t="shared" si="13"/>
        <v>0.089108910891089119</v>
      </c>
      <c r="L56" s="5">
        <f t="shared" si="14"/>
        <v>0.42352941176470588</v>
      </c>
      <c r="M56" s="6">
        <f t="shared" si="15"/>
        <v>0.052023121387283239</v>
      </c>
      <c r="N56" s="7">
        <f t="shared" si="16"/>
        <v>0.13654339991972675</v>
      </c>
      <c r="Q56" s="5">
        <f>1/S54</f>
        <v>0.66243233860355877</v>
      </c>
      <c r="R56" s="5">
        <f>1/S55</f>
        <v>1.1165325846183414</v>
      </c>
      <c r="S56" s="5">
        <v>1</v>
      </c>
      <c r="T56" s="5">
        <f>(E56*$N$5)/N57</f>
        <v>13.669511165912137</v>
      </c>
      <c r="U56" s="5">
        <f>(F56*$N$5)/N58</f>
        <v>0.10953304879987771</v>
      </c>
      <c r="W56" s="8" t="s">
        <v>4</v>
      </c>
      <c r="Y56" s="5">
        <f/>
        <v>1.5095881371191071</v>
      </c>
      <c r="Z56" s="5">
        <f/>
        <v>0.89562992945864173</v>
      </c>
      <c r="AA56" s="5">
        <f/>
        <v>1</v>
      </c>
      <c r="AB56" s="5">
        <f/>
        <v>0.073155505552657568</v>
      </c>
      <c r="AC56" s="5">
        <f/>
        <v>9.1296646168139564</v>
      </c>
      <c r="AE56" s="8" t="s">
        <v>5</v>
      </c>
      <c r="AG56" s="5">
        <f t="shared" si="17"/>
        <v>2.172020475722666</v>
      </c>
      <c r="AH56" s="5">
        <f t="shared" si="18"/>
        <v>2.0121625140769832</v>
      </c>
      <c r="AI56" s="5">
        <f t="shared" si="19"/>
        <v>2</v>
      </c>
      <c r="AJ56" s="9">
        <f t="shared" si="20"/>
        <v>13.742666671464795</v>
      </c>
      <c r="AK56" s="5">
        <f t="shared" si="21"/>
        <v>9.2391976656138333</v>
      </c>
    </row>
    <row r="57" ht="16.5">
      <c r="B57" s="4">
        <v>0.5</v>
      </c>
      <c r="C57" s="4">
        <v>4</v>
      </c>
      <c r="D57" s="4">
        <v>0.1111111111111111</v>
      </c>
      <c r="E57" s="4">
        <v>1</v>
      </c>
      <c r="F57" s="4">
        <v>1</v>
      </c>
      <c r="I57" s="5">
        <f t="shared" si="11"/>
        <v>0.055555555555555552</v>
      </c>
      <c r="J57" s="5">
        <f t="shared" si="12"/>
        <v>0.25</v>
      </c>
      <c r="K57" s="5">
        <f t="shared" si="13"/>
        <v>0.0099009900990099011</v>
      </c>
      <c r="L57" s="5">
        <f t="shared" si="14"/>
        <v>0.047058823529411764</v>
      </c>
      <c r="M57" s="6">
        <f t="shared" si="15"/>
        <v>0.41618497109826591</v>
      </c>
      <c r="N57" s="7">
        <f t="shared" si="16"/>
        <v>0.15574006805644863</v>
      </c>
      <c r="Q57" s="5">
        <f>1/T54</f>
        <v>0.7555638541120423</v>
      </c>
      <c r="R57" s="5">
        <f>1/T55</f>
        <v>5.0940246344512135</v>
      </c>
      <c r="S57" s="5">
        <f>1/T56</f>
        <v>0.073155505552657568</v>
      </c>
      <c r="T57" s="5">
        <v>1</v>
      </c>
      <c r="U57" s="5">
        <f>(F57*$N$6)/N58</f>
        <v>0.3028452332854577</v>
      </c>
      <c r="Y57" s="5">
        <f/>
        <v>1.3235148750931509</v>
      </c>
      <c r="Z57" s="5">
        <f/>
        <v>0.1963084342460647</v>
      </c>
      <c r="AA57" s="5">
        <f/>
        <v>13.669511165912141</v>
      </c>
      <c r="AB57" s="5">
        <f/>
        <v>1</v>
      </c>
      <c r="AC57" s="5">
        <f/>
        <v>3.302016641144931</v>
      </c>
      <c r="AG57" s="5">
        <f t="shared" si="17"/>
        <v>2.0790787292051931</v>
      </c>
      <c r="AH57" s="5">
        <f t="shared" si="18"/>
        <v>5.2903330686972785</v>
      </c>
      <c r="AI57" s="9">
        <f t="shared" si="19"/>
        <v>13.742666671464798</v>
      </c>
      <c r="AJ57" s="5">
        <f t="shared" si="20"/>
        <v>2</v>
      </c>
      <c r="AK57" s="5">
        <f t="shared" si="21"/>
        <v>3.6048618744303886</v>
      </c>
    </row>
    <row r="58" ht="16.5">
      <c r="B58" s="10">
        <v>1</v>
      </c>
      <c r="C58" s="10">
        <v>1</v>
      </c>
      <c r="D58" s="10">
        <v>8</v>
      </c>
      <c r="E58" s="10">
        <v>1</v>
      </c>
      <c r="F58" s="10">
        <v>1</v>
      </c>
      <c r="I58" s="5">
        <f t="shared" si="11"/>
        <v>0.1111111111111111</v>
      </c>
      <c r="J58" s="5">
        <f t="shared" si="12"/>
        <v>0.0625</v>
      </c>
      <c r="K58" s="5">
        <f t="shared" si="13"/>
        <v>0.71287128712871295</v>
      </c>
      <c r="L58" s="5">
        <f t="shared" si="14"/>
        <v>0.047058823529411764</v>
      </c>
      <c r="M58" s="6">
        <f t="shared" si="15"/>
        <v>0.41618497109826591</v>
      </c>
      <c r="N58" s="7">
        <f t="shared" si="16"/>
        <v>0.26994523857350033</v>
      </c>
      <c r="Q58" s="5">
        <f>1/U54</f>
        <v>2.6192471520156548</v>
      </c>
      <c r="R58" s="5">
        <f>1/U55</f>
        <v>2.2073762269511263</v>
      </c>
      <c r="S58" s="5">
        <f>1/U56</f>
        <v>9.1296646168139564</v>
      </c>
      <c r="T58" s="5">
        <f>1/U57</f>
        <v>3.3020166411449305</v>
      </c>
      <c r="U58" s="5">
        <v>1</v>
      </c>
      <c r="Y58" s="5">
        <f/>
        <v>0.38178909509568232</v>
      </c>
      <c r="Z58" s="5">
        <f/>
        <v>0.453026533397626</v>
      </c>
      <c r="AA58" s="5">
        <f/>
        <v>0.1095330487998777</v>
      </c>
      <c r="AB58" s="5">
        <f/>
        <v>0.3028452332854577</v>
      </c>
      <c r="AC58" s="5">
        <f/>
        <v>1</v>
      </c>
      <c r="AG58" s="5">
        <f t="shared" si="17"/>
        <v>3.0010362471113372</v>
      </c>
      <c r="AH58" s="5">
        <f t="shared" si="18"/>
        <v>2.6604027603487523</v>
      </c>
      <c r="AI58" s="5">
        <f t="shared" si="19"/>
        <v>9.2391976656138333</v>
      </c>
      <c r="AJ58" s="5">
        <f t="shared" si="20"/>
        <v>3.6048618744303882</v>
      </c>
      <c r="AK58" s="5">
        <f t="shared" si="21"/>
        <v>2</v>
      </c>
    </row>
    <row r="59" ht="16.5">
      <c r="A59" s="2" t="s">
        <v>6</v>
      </c>
      <c r="B59" s="11">
        <f>SUM(B54:B58)</f>
        <v>4</v>
      </c>
      <c r="C59" s="11">
        <f>SUM(C54:C58)</f>
        <v>8</v>
      </c>
      <c r="D59" s="11">
        <f>SUM(D54:D58)</f>
        <v>12.111111111111111</v>
      </c>
      <c r="E59" s="11">
        <f>SUM(E54:E58)</f>
        <v>13.25</v>
      </c>
      <c r="F59" s="11">
        <f>SUM(F54:F58)</f>
        <v>4.125</v>
      </c>
    </row>
    <row r="61" ht="16.5">
      <c r="B61" s="2" t="s">
        <v>7</v>
      </c>
      <c r="C61" s="2">
        <f>B59*N54+C59*N55+D59*N56+E59*N57+F59*N58</f>
        <v>6.6255490579931369</v>
      </c>
    </row>
    <row r="62" ht="16.5">
      <c r="B62" s="2" t="s">
        <v>8</v>
      </c>
      <c r="C62" s="2">
        <f>(C61-5)/4</f>
        <v>0.40638726449828422</v>
      </c>
    </row>
    <row r="63" ht="16.5">
      <c r="B63" s="2" t="s">
        <v>9</v>
      </c>
      <c r="C63" s="2">
        <f>C62/1.12</f>
        <v>0.362845771873468</v>
      </c>
      <c r="H63" s="2" t="s">
        <v>10</v>
      </c>
    </row>
    <row r="69">
      <c r="A69" s="2" t="s">
        <v>14</v>
      </c>
    </row>
    <row r="71">
      <c r="B71" s="2" t="s">
        <v>1</v>
      </c>
      <c r="H71" s="2" t="s">
        <v>2</v>
      </c>
      <c r="N71" s="3" t="s">
        <v>3</v>
      </c>
    </row>
    <row r="72">
      <c r="B72" s="4">
        <v>1</v>
      </c>
      <c r="C72" s="4">
        <v>1</v>
      </c>
      <c r="D72" s="4">
        <v>2</v>
      </c>
      <c r="E72" s="4">
        <v>2</v>
      </c>
      <c r="F72" s="4">
        <v>1</v>
      </c>
      <c r="I72" s="5">
        <f t="shared" si="11"/>
        <v>0.1111111111111111</v>
      </c>
      <c r="J72" s="5">
        <f t="shared" si="12"/>
        <v>0.0625</v>
      </c>
      <c r="K72" s="5">
        <f t="shared" si="13"/>
        <v>0.17821782178217824</v>
      </c>
      <c r="L72" s="5">
        <f t="shared" si="14"/>
        <v>0.094117647058823528</v>
      </c>
      <c r="M72" s="6">
        <f t="shared" si="15"/>
        <v>0.41618497109826591</v>
      </c>
      <c r="N72" s="7">
        <f t="shared" si="16"/>
        <v>0.17242631021007576</v>
      </c>
      <c r="Q72" s="5">
        <v>1</v>
      </c>
      <c r="R72" s="5">
        <f>(C72*$N$3)/N73</f>
        <v>0.74610301068766394</v>
      </c>
      <c r="S72" s="5">
        <f>(D72*$N$3)/N74</f>
        <v>2.5742108012026166</v>
      </c>
      <c r="T72" s="5">
        <f>(E72*$N$3)/N75</f>
        <v>1.2906931603952956</v>
      </c>
      <c r="U72" s="5">
        <f>(F72*$N$3)/N76</f>
        <v>0.38178909509568237</v>
      </c>
      <c r="Y72" s="5">
        <f t="array" ref="Y72:AC76">TRANSPOSE(Q72:U76)</f>
        <v>1</v>
      </c>
      <c r="Z72" s="5">
        <f/>
        <v>1.3402975000440298</v>
      </c>
      <c r="AA72" s="5">
        <f/>
        <v>0.38846857434240478</v>
      </c>
      <c r="AB72" s="5">
        <f/>
        <v>0.77477748444388894</v>
      </c>
      <c r="AC72" s="5">
        <f/>
        <v>2.6192471520156548</v>
      </c>
      <c r="AG72" s="5">
        <f t="shared" si="17"/>
        <v>2</v>
      </c>
      <c r="AH72" s="5">
        <f t="shared" si="18"/>
        <v>2.0864005107316936</v>
      </c>
      <c r="AI72" s="5">
        <f t="shared" si="19"/>
        <v>2.9626793755450214</v>
      </c>
      <c r="AJ72" s="5">
        <f t="shared" si="20"/>
        <v>2.0654706448391846</v>
      </c>
      <c r="AK72" s="5">
        <f t="shared" si="21"/>
        <v>3.0010362471113372</v>
      </c>
    </row>
    <row r="73">
      <c r="B73" s="4">
        <v>1</v>
      </c>
      <c r="C73" s="4">
        <v>1</v>
      </c>
      <c r="D73" s="4">
        <v>1</v>
      </c>
      <c r="E73" s="4">
        <v>0.25</v>
      </c>
      <c r="F73" s="4">
        <v>1</v>
      </c>
      <c r="I73" s="5">
        <f t="shared" si="11"/>
        <v>0.1111111111111111</v>
      </c>
      <c r="J73" s="5">
        <f t="shared" si="12"/>
        <v>0.0625</v>
      </c>
      <c r="K73" s="5">
        <f t="shared" si="13"/>
        <v>0.089108910891089119</v>
      </c>
      <c r="L73" s="5">
        <f t="shared" si="14"/>
        <v>0.011764705882352941</v>
      </c>
      <c r="M73" s="6">
        <f t="shared" si="15"/>
        <v>0.41618497109826591</v>
      </c>
      <c r="N73" s="7">
        <f t="shared" si="16"/>
        <v>0.13813393979656383</v>
      </c>
      <c r="Q73" s="5">
        <f>1/R72</f>
        <v>1.3402975000440298</v>
      </c>
      <c r="R73" s="5">
        <v>1</v>
      </c>
      <c r="S73" s="5">
        <f>(D73*$N$4)/N74</f>
        <v>1.5272644117968879</v>
      </c>
      <c r="T73" s="5">
        <f>(E73*$N$4)/N75</f>
        <v>0.1914402007695398</v>
      </c>
      <c r="U73" s="5">
        <f>(F73*$N$4)/N76</f>
        <v>0.453026533397626</v>
      </c>
      <c r="Y73" s="5">
        <f/>
        <v>0.74610301068766394</v>
      </c>
      <c r="Z73" s="5">
        <f/>
        <v>1</v>
      </c>
      <c r="AA73" s="5">
        <f/>
        <v>0.65476546973517169</v>
      </c>
      <c r="AB73" s="5">
        <f/>
        <v>5.2235632640389023</v>
      </c>
      <c r="AC73" s="5">
        <f/>
        <v>2.2073762269511263</v>
      </c>
      <c r="AG73" s="5">
        <f t="shared" si="17"/>
        <v>2.0864005107316936</v>
      </c>
      <c r="AH73" s="5">
        <f t="shared" si="18"/>
        <v>2</v>
      </c>
      <c r="AI73" s="5">
        <f t="shared" si="19"/>
        <v>2.1820298815320598</v>
      </c>
      <c r="AJ73" s="5">
        <f t="shared" si="20"/>
        <v>5.415003464808442</v>
      </c>
      <c r="AK73" s="5">
        <f t="shared" si="21"/>
        <v>2.6604027603487523</v>
      </c>
    </row>
    <row r="74" ht="26.25" customHeight="1">
      <c r="B74" s="4">
        <v>0.5</v>
      </c>
      <c r="C74" s="4">
        <v>1</v>
      </c>
      <c r="D74" s="4">
        <v>1</v>
      </c>
      <c r="E74" s="4">
        <v>3</v>
      </c>
      <c r="F74" s="4">
        <v>0.125</v>
      </c>
      <c r="I74" s="5">
        <f t="shared" si="11"/>
        <v>0.055555555555555552</v>
      </c>
      <c r="J74" s="5">
        <f t="shared" si="12"/>
        <v>0.0625</v>
      </c>
      <c r="K74" s="5">
        <f t="shared" si="13"/>
        <v>0.089108910891089119</v>
      </c>
      <c r="L74" s="5">
        <f t="shared" si="14"/>
        <v>0.14117647058823529</v>
      </c>
      <c r="M74" s="6">
        <f t="shared" si="15"/>
        <v>0.052023121387283239</v>
      </c>
      <c r="N74" s="7">
        <f t="shared" si="16"/>
        <v>0.080072811684432629</v>
      </c>
      <c r="Q74" s="5">
        <f>1/S72</f>
        <v>0.38846857434240478</v>
      </c>
      <c r="R74" s="5">
        <f>1/S73</f>
        <v>0.65476546973517169</v>
      </c>
      <c r="S74" s="5">
        <v>1</v>
      </c>
      <c r="T74" s="5">
        <f>(E74*$N$5)/N75</f>
        <v>4.4435074360984315</v>
      </c>
      <c r="U74" s="5">
        <f>(F74*$N$5)/N76</f>
        <v>0.10953304879987771</v>
      </c>
      <c r="W74" s="8" t="s">
        <v>4</v>
      </c>
      <c r="Y74" s="5">
        <f/>
        <v>2.5742108012026166</v>
      </c>
      <c r="Z74" s="5">
        <f/>
        <v>1.5272644117968879</v>
      </c>
      <c r="AA74" s="5">
        <f/>
        <v>1</v>
      </c>
      <c r="AB74" s="5">
        <f/>
        <v>0.2250474460504196</v>
      </c>
      <c r="AC74" s="5">
        <f/>
        <v>9.1296646168139564</v>
      </c>
      <c r="AE74" s="8" t="s">
        <v>5</v>
      </c>
      <c r="AG74" s="5">
        <f t="shared" si="17"/>
        <v>2.9626793755450214</v>
      </c>
      <c r="AH74" s="5">
        <f t="shared" si="18"/>
        <v>2.1820298815320598</v>
      </c>
      <c r="AI74" s="5">
        <f t="shared" si="19"/>
        <v>2</v>
      </c>
      <c r="AJ74" s="5">
        <f t="shared" si="20"/>
        <v>4.6685548821488512</v>
      </c>
      <c r="AK74" s="9">
        <f t="shared" si="21"/>
        <v>9.2391976656138333</v>
      </c>
    </row>
    <row r="75">
      <c r="B75" s="4">
        <v>0.5</v>
      </c>
      <c r="C75" s="4">
        <v>4</v>
      </c>
      <c r="D75" s="4">
        <v>0.33333333333333331</v>
      </c>
      <c r="E75" s="4">
        <v>1</v>
      </c>
      <c r="F75" s="4">
        <v>1</v>
      </c>
      <c r="I75" s="5">
        <f t="shared" si="11"/>
        <v>0.055555555555555552</v>
      </c>
      <c r="J75" s="5">
        <f t="shared" si="12"/>
        <v>0.25</v>
      </c>
      <c r="K75" s="5">
        <f t="shared" si="13"/>
        <v>0.029702970297029705</v>
      </c>
      <c r="L75" s="5">
        <f t="shared" si="14"/>
        <v>0.047058823529411764</v>
      </c>
      <c r="M75" s="6">
        <f t="shared" si="15"/>
        <v>0.41618497109826591</v>
      </c>
      <c r="N75" s="7">
        <f t="shared" si="16"/>
        <v>0.1597004640960526</v>
      </c>
      <c r="Q75" s="5">
        <f>1/T72</f>
        <v>0.77477748444388894</v>
      </c>
      <c r="R75" s="5">
        <f>1/T73</f>
        <v>5.2235632640389023</v>
      </c>
      <c r="S75" s="5">
        <f>1/T74</f>
        <v>0.2250474460504196</v>
      </c>
      <c r="T75" s="5">
        <v>1</v>
      </c>
      <c r="U75" s="5">
        <f>(F75*$N$6)/N76</f>
        <v>0.3028452332854577</v>
      </c>
      <c r="Y75" s="5">
        <f/>
        <v>1.2906931603952956</v>
      </c>
      <c r="Z75" s="5">
        <f/>
        <v>0.1914402007695398</v>
      </c>
      <c r="AA75" s="5">
        <f/>
        <v>4.4435074360984315</v>
      </c>
      <c r="AB75" s="5">
        <f/>
        <v>1</v>
      </c>
      <c r="AC75" s="5">
        <f/>
        <v>3.3020166411449305</v>
      </c>
      <c r="AG75" s="5">
        <f t="shared" si="17"/>
        <v>2.0654706448391846</v>
      </c>
      <c r="AH75" s="5">
        <f t="shared" si="18"/>
        <v>5.415003464808442</v>
      </c>
      <c r="AI75" s="5">
        <f t="shared" si="19"/>
        <v>4.6685548821488512</v>
      </c>
      <c r="AJ75" s="5">
        <f t="shared" si="20"/>
        <v>2</v>
      </c>
      <c r="AK75" s="5">
        <f t="shared" si="21"/>
        <v>3.6048618744303882</v>
      </c>
    </row>
    <row r="76">
      <c r="B76" s="10">
        <v>1</v>
      </c>
      <c r="C76" s="10">
        <v>1</v>
      </c>
      <c r="D76" s="10">
        <v>8</v>
      </c>
      <c r="E76" s="10">
        <v>1</v>
      </c>
      <c r="F76" s="10">
        <v>1</v>
      </c>
      <c r="I76" s="5">
        <f t="shared" si="11"/>
        <v>0.1111111111111111</v>
      </c>
      <c r="J76" s="5">
        <f t="shared" si="12"/>
        <v>0.0625</v>
      </c>
      <c r="K76" s="5">
        <f t="shared" si="13"/>
        <v>0.71287128712871295</v>
      </c>
      <c r="L76" s="5">
        <f t="shared" si="14"/>
        <v>0.047058823529411764</v>
      </c>
      <c r="M76" s="6">
        <f t="shared" si="15"/>
        <v>0.41618497109826591</v>
      </c>
      <c r="N76" s="7">
        <f t="shared" si="16"/>
        <v>0.26994523857350033</v>
      </c>
      <c r="Q76" s="5">
        <f>1/U72</f>
        <v>2.6192471520156548</v>
      </c>
      <c r="R76" s="5">
        <f>1/U73</f>
        <v>2.2073762269511263</v>
      </c>
      <c r="S76" s="5">
        <f>1/U74</f>
        <v>9.1296646168139564</v>
      </c>
      <c r="T76" s="5">
        <f>1/U75</f>
        <v>3.3020166411449305</v>
      </c>
      <c r="U76" s="5">
        <v>1</v>
      </c>
      <c r="Y76" s="5">
        <f/>
        <v>0.38178909509568237</v>
      </c>
      <c r="Z76" s="5">
        <f/>
        <v>0.453026533397626</v>
      </c>
      <c r="AA76" s="5">
        <f/>
        <v>0.10953304879987771</v>
      </c>
      <c r="AB76" s="5">
        <f/>
        <v>0.3028452332854577</v>
      </c>
      <c r="AC76" s="5">
        <f/>
        <v>1</v>
      </c>
      <c r="AG76" s="5">
        <f t="shared" si="17"/>
        <v>3.0010362471113372</v>
      </c>
      <c r="AH76" s="5">
        <f t="shared" si="18"/>
        <v>2.6604027603487523</v>
      </c>
      <c r="AI76" s="9">
        <f t="shared" si="19"/>
        <v>9.2391976656138333</v>
      </c>
      <c r="AJ76" s="5">
        <f t="shared" si="20"/>
        <v>3.6048618744303882</v>
      </c>
      <c r="AK76" s="5">
        <f t="shared" si="21"/>
        <v>2</v>
      </c>
    </row>
    <row r="77">
      <c r="A77" s="2" t="s">
        <v>6</v>
      </c>
      <c r="B77" s="11">
        <f>SUM(B72:B76)</f>
        <v>4</v>
      </c>
      <c r="C77" s="11">
        <f>SUM(C72:C76)</f>
        <v>8</v>
      </c>
      <c r="D77" s="11">
        <f>SUM(D72:D76)</f>
        <v>12.333333333333332</v>
      </c>
      <c r="E77" s="11">
        <f>SUM(E72:E76)</f>
        <v>7.25</v>
      </c>
      <c r="F77" s="11">
        <f>SUM(F72:F76)</f>
        <v>4.125</v>
      </c>
    </row>
    <row r="79">
      <c r="B79" s="2" t="s">
        <v>7</v>
      </c>
      <c r="C79" s="2">
        <f>B77*N72+C77*N73+D77*N74+E77*N75+F77*N76</f>
        <v>5.0536939104662197</v>
      </c>
    </row>
    <row r="80">
      <c r="B80" s="2" t="s">
        <v>8</v>
      </c>
      <c r="C80" s="2">
        <f>(C79-5)/4</f>
        <v>0.013423477616554935</v>
      </c>
    </row>
    <row r="81">
      <c r="B81" s="2" t="s">
        <v>9</v>
      </c>
      <c r="C81" s="2">
        <f>C80/1.12</f>
        <v>0.011985247871924048</v>
      </c>
      <c r="H81" s="2" t="s">
        <v>15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M130" zoomScale="100" workbookViewId="0">
      <selection activeCell="A1" activeCellId="0" sqref="A1"/>
    </sheetView>
  </sheetViews>
  <sheetFormatPr baseColWidth="8" defaultRowHeight="15"/>
  <cols>
    <col customWidth="1" min="1" max="1" style="1" width="16.7109375"/>
  </cols>
  <sheetData>
    <row r="1">
      <c r="A1" s="2" t="s">
        <v>16</v>
      </c>
      <c r="T1" s="12" t="s">
        <v>3</v>
      </c>
    </row>
    <row r="2">
      <c r="B2" s="4">
        <v>1</v>
      </c>
      <c r="C2" s="4">
        <v>3</v>
      </c>
      <c r="D2" s="4">
        <v>0.14285714285714279</v>
      </c>
      <c r="E2" s="4">
        <v>4</v>
      </c>
      <c r="F2" s="4">
        <v>8</v>
      </c>
      <c r="G2" s="4">
        <v>0.33333333333333331</v>
      </c>
      <c r="H2" s="4">
        <v>0.1111111111111111</v>
      </c>
      <c r="I2" s="4">
        <v>4</v>
      </c>
      <c r="L2" s="5">
        <f t="shared" ref="L2:L9" si="22">B2/$B$10</f>
        <v>0.04771371769383697</v>
      </c>
      <c r="M2" s="5">
        <f t="shared" ref="M2:M9" si="23">C2/$C$10</f>
        <v>0.14319809069212411</v>
      </c>
      <c r="N2" s="5">
        <f t="shared" ref="N2:N9" si="24">D2/$D$10</f>
        <v>0.0070422535211267581</v>
      </c>
      <c r="O2" s="5">
        <f t="shared" ref="O2:O9" si="25">E2/$E$10</f>
        <v>0.33333333333333326</v>
      </c>
      <c r="P2" s="5">
        <f t="shared" ref="P2:P9" si="26">F2/$F$10</f>
        <v>0.45703922013148945</v>
      </c>
      <c r="Q2" s="5">
        <f t="shared" ref="Q2:Q9" si="27">G2/$G$10</f>
        <v>0.015642458100558657</v>
      </c>
      <c r="R2" s="5">
        <f t="shared" ref="R2:R9" si="28">H2/$H$10</f>
        <v>0.010126582278481013</v>
      </c>
      <c r="S2" s="6">
        <f t="shared" ref="S2:S9" si="29">I2/$I$10</f>
        <v>0.24489795918367349</v>
      </c>
      <c r="T2" s="5">
        <f t="shared" ref="T2:T9" si="30">AVERAGE(L2:S2)</f>
        <v>0.15737420186682799</v>
      </c>
      <c r="W2" s="5">
        <v>1</v>
      </c>
      <c r="X2" s="5">
        <f>(C2*$T$2)/T3</f>
        <v>4.3083842289688619</v>
      </c>
      <c r="Y2" s="5">
        <f>(D2*$T$2)/T4</f>
        <v>0.20452723038443532</v>
      </c>
      <c r="Z2" s="5">
        <f>(E2*$T$2)/T5</f>
        <v>6.0709405916286832</v>
      </c>
      <c r="AA2" s="5">
        <f>(F2*$T$2)/T6</f>
        <v>6.7794912286707172</v>
      </c>
      <c r="AB2" s="5">
        <f>(G2*$T$2)/T7</f>
        <v>0.46599800777953937</v>
      </c>
      <c r="AC2" s="5">
        <f>(H2*$T$2)/T8</f>
        <v>0.10239391136608772</v>
      </c>
      <c r="AD2" s="5">
        <f>(I2*$T$2)/T9</f>
        <v>12.494559755817695</v>
      </c>
      <c r="AG2" s="5">
        <f t="array" ref="AG2:AN9">TRANSPOSE(W2:AD9)</f>
        <v>1</v>
      </c>
      <c r="AH2" s="5">
        <f/>
        <v>0.23210557528183429</v>
      </c>
      <c r="AI2" s="5">
        <f/>
        <v>4.8893245076480536</v>
      </c>
      <c r="AJ2" s="5">
        <f/>
        <v>0.1647191213465202</v>
      </c>
      <c r="AK2" s="5">
        <f/>
        <v>0.14750369404874561</v>
      </c>
      <c r="AL2" s="5">
        <f/>
        <v>2.14593192096455</v>
      </c>
      <c r="AM2" s="5">
        <f/>
        <v>9.7662056919059577</v>
      </c>
      <c r="AN2" s="5">
        <f/>
        <v>0.080034832722648094</v>
      </c>
      <c r="AR2" s="5">
        <f t="shared" ref="AR2:AR9" si="31">W2+AG2</f>
        <v>2</v>
      </c>
      <c r="AS2" s="5">
        <f t="shared" ref="AS2:AS9" si="32">X2+AH2</f>
        <v>4.5404898042506963</v>
      </c>
      <c r="AT2" s="5">
        <f t="shared" ref="AT2:AT9" si="33">Y2+AI2</f>
        <v>5.0938517380324893</v>
      </c>
      <c r="AU2" s="5">
        <f t="shared" ref="AU2:AU9" si="34">Z2+AJ2</f>
        <v>6.2356597129752034</v>
      </c>
      <c r="AV2" s="5">
        <f t="shared" ref="AV2:AV9" si="35">AA2+AK2</f>
        <v>6.9269949227194632</v>
      </c>
      <c r="AW2" s="5">
        <f t="shared" ref="AW2:AW9" si="36">AB2+AL2</f>
        <v>2.6119299287440896</v>
      </c>
      <c r="AX2" s="5">
        <f t="shared" ref="AX2:AX9" si="37">AC2+AM2</f>
        <v>9.8685996032720453</v>
      </c>
      <c r="AY2" s="5">
        <f t="shared" ref="AY2:AY9" si="38">AD2+AN2</f>
        <v>12.574594588540343</v>
      </c>
    </row>
    <row r="3">
      <c r="B3" s="4">
        <v>0.33333333333333331</v>
      </c>
      <c r="C3" s="4">
        <v>1</v>
      </c>
      <c r="D3" s="4">
        <v>4</v>
      </c>
      <c r="E3" s="4">
        <v>0.16666666666666671</v>
      </c>
      <c r="F3" s="4">
        <v>0.14285714285714279</v>
      </c>
      <c r="G3" s="4">
        <v>0.33333333333333331</v>
      </c>
      <c r="H3" s="4">
        <v>5</v>
      </c>
      <c r="I3" s="4">
        <v>2</v>
      </c>
      <c r="L3" s="5">
        <f t="shared" si="22"/>
        <v>0.015904572564612324</v>
      </c>
      <c r="M3" s="5">
        <f t="shared" si="23"/>
        <v>0.0477326968973747</v>
      </c>
      <c r="N3" s="5">
        <f t="shared" si="24"/>
        <v>0.19718309859154931</v>
      </c>
      <c r="O3" s="5">
        <f t="shared" si="25"/>
        <v>0.01388888888888889</v>
      </c>
      <c r="P3" s="5">
        <f t="shared" si="26"/>
        <v>0.0081614146452051659</v>
      </c>
      <c r="Q3" s="5">
        <f t="shared" si="27"/>
        <v>0.015642458100558657</v>
      </c>
      <c r="R3" s="5">
        <f t="shared" si="28"/>
        <v>0.45569620253164561</v>
      </c>
      <c r="S3" s="6">
        <f t="shared" si="29"/>
        <v>0.12244897959183675</v>
      </c>
      <c r="T3" s="5">
        <f t="shared" si="30"/>
        <v>0.10958228897645893</v>
      </c>
      <c r="W3" s="5">
        <f>1/X2</f>
        <v>0.23210557528183434</v>
      </c>
      <c r="X3" s="5">
        <v>1</v>
      </c>
      <c r="Y3" s="5">
        <f>(D3*$T$3)/T4</f>
        <v>3.9876404794110916</v>
      </c>
      <c r="Z3" s="5">
        <f>(E3*$T$3)/T5</f>
        <v>0.17613739481522697</v>
      </c>
      <c r="AA3" s="5">
        <f>(F3*$T$3)/T6</f>
        <v>0.084297734557969614</v>
      </c>
      <c r="AB3" s="5">
        <f>(G3*$T$3)/T7</f>
        <v>0.32448220702757613</v>
      </c>
      <c r="AC3" s="5">
        <f>(H3*$T$3)/T8</f>
        <v>3.2084366899026979</v>
      </c>
      <c r="AD3" s="5">
        <f>(I3*$T$3)/T9</f>
        <v>4.3500854700259834</v>
      </c>
      <c r="AG3" s="5">
        <f/>
        <v>4.3083842289688619</v>
      </c>
      <c r="AH3" s="5">
        <f/>
        <v>1</v>
      </c>
      <c r="AI3" s="5">
        <f/>
        <v>0.25077486427454548</v>
      </c>
      <c r="AJ3" s="5">
        <f/>
        <v>5.677386116951646</v>
      </c>
      <c r="AK3" s="5">
        <f/>
        <v>11.862714997546259</v>
      </c>
      <c r="AL3" s="5">
        <f/>
        <v>3.0818330815748389</v>
      </c>
      <c r="AM3" s="5">
        <f/>
        <v>0.31167827096202633</v>
      </c>
      <c r="AN3" s="5">
        <f/>
        <v>0.229880540713612</v>
      </c>
      <c r="AR3" s="5">
        <f t="shared" si="31"/>
        <v>4.5404898042506963</v>
      </c>
      <c r="AS3" s="5">
        <f t="shared" si="32"/>
        <v>2</v>
      </c>
      <c r="AT3" s="5">
        <f t="shared" si="33"/>
        <v>4.2384153436856371</v>
      </c>
      <c r="AU3" s="5">
        <f t="shared" si="34"/>
        <v>5.8535235117668734</v>
      </c>
      <c r="AV3" s="5">
        <f t="shared" si="35"/>
        <v>11.947012732104229</v>
      </c>
      <c r="AW3" s="5">
        <f t="shared" si="36"/>
        <v>3.4063152886024151</v>
      </c>
      <c r="AX3" s="5">
        <f t="shared" si="37"/>
        <v>3.5201149608647242</v>
      </c>
      <c r="AY3" s="5">
        <f t="shared" si="38"/>
        <v>4.5799660107395956</v>
      </c>
    </row>
    <row r="4">
      <c r="B4" s="4">
        <v>7</v>
      </c>
      <c r="C4" s="4">
        <v>0.25</v>
      </c>
      <c r="D4" s="4">
        <v>1</v>
      </c>
      <c r="E4" s="4">
        <v>1</v>
      </c>
      <c r="F4" s="4">
        <v>0.1111111111111111</v>
      </c>
      <c r="G4" s="4">
        <v>7</v>
      </c>
      <c r="H4" s="4">
        <v>0.5</v>
      </c>
      <c r="I4" s="4">
        <v>0.33333333333333331</v>
      </c>
      <c r="L4" s="5">
        <f t="shared" si="22"/>
        <v>0.33399602385685884</v>
      </c>
      <c r="M4" s="5">
        <f t="shared" si="23"/>
        <v>0.011933174224343675</v>
      </c>
      <c r="N4" s="5">
        <f t="shared" si="24"/>
        <v>0.049295774647887328</v>
      </c>
      <c r="O4" s="5">
        <f t="shared" si="25"/>
        <v>0.083333333333333315</v>
      </c>
      <c r="P4" s="5">
        <f t="shared" si="26"/>
        <v>0.0063477669462706872</v>
      </c>
      <c r="Q4" s="5">
        <f t="shared" si="27"/>
        <v>0.32849162011173183</v>
      </c>
      <c r="R4" s="5">
        <f t="shared" si="28"/>
        <v>0.045569620253164557</v>
      </c>
      <c r="S4" s="6">
        <f t="shared" si="29"/>
        <v>0.020408163265306124</v>
      </c>
      <c r="T4" s="5">
        <f t="shared" si="30"/>
        <v>0.10992193457986205</v>
      </c>
      <c r="W4" s="5">
        <f>1/Y2</f>
        <v>4.8893245076480571</v>
      </c>
      <c r="X4" s="5">
        <f>1/Y3</f>
        <v>0.25077486427454548</v>
      </c>
      <c r="Y4" s="5">
        <v>1</v>
      </c>
      <c r="Z4" s="5">
        <f>(E4*$T$4)/T5</f>
        <v>1.0600999506830535</v>
      </c>
      <c r="AA4" s="5">
        <f>(F4*$T$4)/T6</f>
        <v>0.065768120265326899</v>
      </c>
      <c r="AB4" s="5">
        <f>(G4*$T$4)/T7</f>
        <v>6.8352464398550117</v>
      </c>
      <c r="AC4" s="5">
        <f>(H4*$T$4)/T8</f>
        <v>0.32183811017752845</v>
      </c>
      <c r="AD4" s="5">
        <f>(I4*$T$4)/T9</f>
        <v>0.72726139555229219</v>
      </c>
      <c r="AG4" s="5">
        <f/>
        <v>0.2045272303844354</v>
      </c>
      <c r="AH4" s="5">
        <f/>
        <v>3.987640479411092</v>
      </c>
      <c r="AI4" s="5">
        <f/>
        <v>1</v>
      </c>
      <c r="AJ4" s="5">
        <f/>
        <v>0.94330727905012224</v>
      </c>
      <c r="AK4" s="5">
        <f/>
        <v>15.204935095692591</v>
      </c>
      <c r="AL4" s="5">
        <f/>
        <v>0.14630050412947679</v>
      </c>
      <c r="AM4" s="5">
        <f/>
        <v>3.1071522246025869</v>
      </c>
      <c r="AN4" s="5">
        <f/>
        <v>1.375021424367763</v>
      </c>
      <c r="AR4" s="5">
        <f t="shared" si="31"/>
        <v>5.0938517380324928</v>
      </c>
      <c r="AS4" s="5">
        <f t="shared" si="32"/>
        <v>4.2384153436856371</v>
      </c>
      <c r="AT4" s="5">
        <f t="shared" si="33"/>
        <v>2</v>
      </c>
      <c r="AU4" s="5">
        <f t="shared" si="34"/>
        <v>2.0034072297331758</v>
      </c>
      <c r="AV4" s="13">
        <f t="shared" si="35"/>
        <v>15.270703215957917</v>
      </c>
      <c r="AW4" s="5">
        <f t="shared" si="36"/>
        <v>6.9815469439844886</v>
      </c>
      <c r="AX4" s="5">
        <f t="shared" si="37"/>
        <v>3.4289903347801154</v>
      </c>
      <c r="AY4" s="5">
        <f t="shared" si="38"/>
        <v>2.1022828199200552</v>
      </c>
    </row>
    <row r="5" ht="18.75" customHeight="1">
      <c r="B5" s="4">
        <v>0.25</v>
      </c>
      <c r="C5" s="4">
        <v>6</v>
      </c>
      <c r="D5" s="4">
        <v>1</v>
      </c>
      <c r="E5" s="4">
        <v>1</v>
      </c>
      <c r="F5" s="4">
        <v>0.25</v>
      </c>
      <c r="G5" s="4">
        <v>3</v>
      </c>
      <c r="H5" s="4">
        <v>2</v>
      </c>
      <c r="I5" s="4">
        <v>1</v>
      </c>
      <c r="L5" s="5">
        <f t="shared" si="22"/>
        <v>0.011928429423459242</v>
      </c>
      <c r="M5" s="5">
        <f t="shared" si="23"/>
        <v>0.28639618138424822</v>
      </c>
      <c r="N5" s="5">
        <f t="shared" si="24"/>
        <v>0.049295774647887328</v>
      </c>
      <c r="O5" s="5">
        <f t="shared" si="25"/>
        <v>0.083333333333333315</v>
      </c>
      <c r="P5" s="5">
        <f t="shared" si="26"/>
        <v>0.014282475629109045</v>
      </c>
      <c r="Q5" s="5">
        <f t="shared" si="27"/>
        <v>0.14078212290502792</v>
      </c>
      <c r="R5" s="5">
        <f t="shared" si="28"/>
        <v>0.18227848101265823</v>
      </c>
      <c r="S5" s="6">
        <f t="shared" si="29"/>
        <v>0.061224489795918373</v>
      </c>
      <c r="T5" s="5">
        <f t="shared" si="30"/>
        <v>0.1036901610164552</v>
      </c>
      <c r="W5" s="5">
        <f>1/Z2</f>
        <v>0.16471912134652017</v>
      </c>
      <c r="X5" s="5">
        <f>1/Z3</f>
        <v>5.6773861169516433</v>
      </c>
      <c r="Y5" s="5">
        <f>1/Z4</f>
        <v>0.94330727905012224</v>
      </c>
      <c r="Z5" s="5">
        <v>1</v>
      </c>
      <c r="AA5" s="5">
        <f>(F5*$T$5)/T6</f>
        <v>0.13958897979538512</v>
      </c>
      <c r="AB5" s="5">
        <f>(G5*$T$5)/T7</f>
        <v>2.7633161660642851</v>
      </c>
      <c r="AC5" s="5">
        <f>(H5*$T$5)/T8</f>
        <v>1.2143689280247911</v>
      </c>
      <c r="AD5" s="5">
        <f>(I5*$T$5)/T9</f>
        <v>2.0580929045898824</v>
      </c>
      <c r="AF5" s="2" t="s">
        <v>4</v>
      </c>
      <c r="AG5" s="5">
        <f/>
        <v>6.0709405916286832</v>
      </c>
      <c r="AH5" s="5">
        <f/>
        <v>0.17613739481522689</v>
      </c>
      <c r="AI5" s="5">
        <f/>
        <v>1.060099950683054</v>
      </c>
      <c r="AJ5" s="5">
        <f/>
        <v>1</v>
      </c>
      <c r="AK5" s="5">
        <f/>
        <v>7.1638893089256639</v>
      </c>
      <c r="AL5" s="5">
        <f/>
        <v>0.36188403349598341</v>
      </c>
      <c r="AM5" s="5">
        <f/>
        <v>0.82347298001648572</v>
      </c>
      <c r="AN5" s="5">
        <f/>
        <v>0.48588671472013589</v>
      </c>
      <c r="AP5" s="8" t="s">
        <v>5</v>
      </c>
      <c r="AR5" s="5">
        <f t="shared" si="31"/>
        <v>6.2356597129752034</v>
      </c>
      <c r="AS5" s="5">
        <f t="shared" si="32"/>
        <v>5.8535235117668698</v>
      </c>
      <c r="AT5" s="5">
        <f t="shared" si="33"/>
        <v>2.0034072297331762</v>
      </c>
      <c r="AU5" s="5">
        <f t="shared" si="34"/>
        <v>2</v>
      </c>
      <c r="AV5" s="5">
        <f t="shared" si="35"/>
        <v>7.303478288721049</v>
      </c>
      <c r="AW5" s="5">
        <f t="shared" si="36"/>
        <v>3.1252001995602683</v>
      </c>
      <c r="AX5" s="5">
        <f t="shared" si="37"/>
        <v>2.0378419080412771</v>
      </c>
      <c r="AY5" s="5">
        <f t="shared" si="38"/>
        <v>2.5439796193100181</v>
      </c>
    </row>
    <row r="6">
      <c r="B6" s="4">
        <v>0.125</v>
      </c>
      <c r="C6" s="4">
        <v>7</v>
      </c>
      <c r="D6" s="4">
        <v>9</v>
      </c>
      <c r="E6" s="4">
        <v>4</v>
      </c>
      <c r="F6" s="4">
        <v>1</v>
      </c>
      <c r="G6" s="4">
        <v>0.14285714285714279</v>
      </c>
      <c r="H6" s="4">
        <v>2</v>
      </c>
      <c r="I6" s="4">
        <v>2</v>
      </c>
      <c r="L6" s="5">
        <f t="shared" si="22"/>
        <v>0.0059642147117296212</v>
      </c>
      <c r="M6" s="5">
        <f t="shared" si="23"/>
        <v>0.33412887828162291</v>
      </c>
      <c r="N6" s="5">
        <f t="shared" si="24"/>
        <v>0.44366197183098594</v>
      </c>
      <c r="O6" s="5">
        <f t="shared" si="25"/>
        <v>0.33333333333333326</v>
      </c>
      <c r="P6" s="5">
        <f t="shared" si="26"/>
        <v>0.057129902516436182</v>
      </c>
      <c r="Q6" s="5">
        <f t="shared" si="27"/>
        <v>0.0067039106145251361</v>
      </c>
      <c r="R6" s="5">
        <f t="shared" si="28"/>
        <v>0.18227848101265823</v>
      </c>
      <c r="S6" s="6">
        <f t="shared" si="29"/>
        <v>0.12244897959183675</v>
      </c>
      <c r="T6" s="5">
        <f t="shared" si="30"/>
        <v>0.18570620898664103</v>
      </c>
      <c r="W6" s="5">
        <f>1/AA2</f>
        <v>0.14750369404874561</v>
      </c>
      <c r="X6" s="5">
        <f>1/AA3</f>
        <v>11.862714997546263</v>
      </c>
      <c r="Y6" s="5">
        <f>1/AA4</f>
        <v>15.204935095692591</v>
      </c>
      <c r="Z6" s="5">
        <f>1/AA5</f>
        <v>7.1638893089256639</v>
      </c>
      <c r="AA6" s="5">
        <v>1</v>
      </c>
      <c r="AB6" s="5">
        <f>(G6*$T$6)/T7</f>
        <v>0.23566775165773074</v>
      </c>
      <c r="AC6" s="5">
        <f>(H6*$T$6)/T8</f>
        <v>2.1749011451420803</v>
      </c>
      <c r="AD6" s="5">
        <f>(I6*$T$6)/T9</f>
        <v>7.3719748779836127</v>
      </c>
      <c r="AG6" s="5">
        <f/>
        <v>6.7794912286707172</v>
      </c>
      <c r="AH6" s="5">
        <f/>
        <v>0.084297734557969656</v>
      </c>
      <c r="AI6" s="5">
        <f/>
        <v>0.065768120265326899</v>
      </c>
      <c r="AJ6" s="5">
        <f/>
        <v>0.13958897979538509</v>
      </c>
      <c r="AK6" s="5">
        <f/>
        <v>1</v>
      </c>
      <c r="AL6" s="5">
        <f/>
        <v>4.2432619353552363</v>
      </c>
      <c r="AM6" s="5">
        <f/>
        <v>0.45979101267826722</v>
      </c>
      <c r="AN6" s="5">
        <f/>
        <v>0.13564886160783021</v>
      </c>
      <c r="AR6" s="5">
        <f t="shared" si="31"/>
        <v>6.9269949227194632</v>
      </c>
      <c r="AS6" s="5">
        <f t="shared" si="32"/>
        <v>11.947012732104232</v>
      </c>
      <c r="AT6" s="13">
        <f t="shared" si="33"/>
        <v>15.270703215957917</v>
      </c>
      <c r="AU6" s="5">
        <f t="shared" si="34"/>
        <v>7.303478288721049</v>
      </c>
      <c r="AV6" s="5">
        <f t="shared" si="35"/>
        <v>2</v>
      </c>
      <c r="AW6" s="5">
        <f t="shared" si="36"/>
        <v>4.4789296870129673</v>
      </c>
      <c r="AX6" s="5">
        <f t="shared" si="37"/>
        <v>2.6346921578203477</v>
      </c>
      <c r="AY6" s="5">
        <f t="shared" si="38"/>
        <v>7.5076237395914429</v>
      </c>
    </row>
    <row r="7">
      <c r="B7" s="4">
        <v>3</v>
      </c>
      <c r="C7" s="4">
        <v>3</v>
      </c>
      <c r="D7" s="4">
        <v>0.14285714285714279</v>
      </c>
      <c r="E7" s="4">
        <v>0.33333333333333331</v>
      </c>
      <c r="F7" s="4">
        <v>7</v>
      </c>
      <c r="G7" s="4">
        <v>1</v>
      </c>
      <c r="H7" s="4">
        <v>0.1111111111111111</v>
      </c>
      <c r="I7" s="4">
        <v>2</v>
      </c>
      <c r="L7" s="5">
        <f t="shared" si="22"/>
        <v>0.14314115308151093</v>
      </c>
      <c r="M7" s="5">
        <f t="shared" si="23"/>
        <v>0.14319809069212411</v>
      </c>
      <c r="N7" s="5">
        <f t="shared" si="24"/>
        <v>0.0070422535211267581</v>
      </c>
      <c r="O7" s="5">
        <f t="shared" si="25"/>
        <v>0.027777777777777773</v>
      </c>
      <c r="P7" s="5">
        <f t="shared" si="26"/>
        <v>0.39990931761505327</v>
      </c>
      <c r="Q7" s="5">
        <f t="shared" si="27"/>
        <v>0.046927374301675977</v>
      </c>
      <c r="R7" s="5">
        <f t="shared" si="28"/>
        <v>0.010126582278481013</v>
      </c>
      <c r="S7" s="6">
        <f t="shared" si="29"/>
        <v>0.12244897959183675</v>
      </c>
      <c r="T7" s="5">
        <f t="shared" si="30"/>
        <v>0.11257144110744832</v>
      </c>
      <c r="W7" s="5">
        <f>1/AB2</f>
        <v>2.1459319209645495</v>
      </c>
      <c r="X7" s="5">
        <f>1/AB3</f>
        <v>3.0818330815748394</v>
      </c>
      <c r="Y7" s="5">
        <f>1/AB4</f>
        <v>0.14630050412947684</v>
      </c>
      <c r="Z7" s="5">
        <f>1/AB5</f>
        <v>0.36188403349598336</v>
      </c>
      <c r="AA7" s="5">
        <f>1/AB6</f>
        <v>4.2432619353552372</v>
      </c>
      <c r="AB7" s="5">
        <v>1</v>
      </c>
      <c r="AC7" s="5">
        <f>(H7*$T$7)/T8</f>
        <v>0.073243454304300806</v>
      </c>
      <c r="AD7" s="5">
        <f>(I7*$T$7)/T9</f>
        <v>4.4687457697347028</v>
      </c>
      <c r="AG7" s="5">
        <f/>
        <v>0.46599800777953942</v>
      </c>
      <c r="AH7" s="5">
        <f/>
        <v>0.32448220702757608</v>
      </c>
      <c r="AI7" s="5">
        <f/>
        <v>6.8352464398550117</v>
      </c>
      <c r="AJ7" s="5">
        <f/>
        <v>2.7633161660642851</v>
      </c>
      <c r="AK7" s="5">
        <f/>
        <v>0.2356677516577308</v>
      </c>
      <c r="AL7" s="5">
        <f/>
        <v>1</v>
      </c>
      <c r="AM7" s="5">
        <f/>
        <v>13.653097187980119</v>
      </c>
      <c r="AN7" s="5">
        <f/>
        <v>0.22377643561033619</v>
      </c>
      <c r="AR7" s="5">
        <f t="shared" si="31"/>
        <v>2.6119299287440891</v>
      </c>
      <c r="AS7" s="5">
        <f t="shared" si="32"/>
        <v>3.4063152886024155</v>
      </c>
      <c r="AT7" s="5">
        <f t="shared" si="33"/>
        <v>6.9815469439844886</v>
      </c>
      <c r="AU7" s="5">
        <f t="shared" si="34"/>
        <v>3.1252001995602683</v>
      </c>
      <c r="AV7" s="5">
        <f t="shared" si="35"/>
        <v>4.4789296870129682</v>
      </c>
      <c r="AW7" s="5">
        <f t="shared" si="36"/>
        <v>2</v>
      </c>
      <c r="AX7" s="5">
        <f t="shared" si="37"/>
        <v>13.72634064228442</v>
      </c>
      <c r="AY7" s="5">
        <f t="shared" si="38"/>
        <v>4.6925222053450391</v>
      </c>
    </row>
    <row r="8">
      <c r="B8" s="4">
        <v>9</v>
      </c>
      <c r="C8" s="4">
        <v>0.20000000000000001</v>
      </c>
      <c r="D8" s="4">
        <v>2</v>
      </c>
      <c r="E8" s="4">
        <v>0.5</v>
      </c>
      <c r="F8" s="4">
        <v>0.5</v>
      </c>
      <c r="G8" s="4">
        <v>9</v>
      </c>
      <c r="H8" s="4">
        <v>1</v>
      </c>
      <c r="I8" s="4">
        <v>4</v>
      </c>
      <c r="L8" s="5">
        <f t="shared" si="22"/>
        <v>0.42942345924453273</v>
      </c>
      <c r="M8" s="5">
        <f t="shared" si="23"/>
        <v>0.0095465393794749408</v>
      </c>
      <c r="N8" s="5">
        <f t="shared" si="24"/>
        <v>0.098591549295774655</v>
      </c>
      <c r="O8" s="5">
        <f t="shared" si="25"/>
        <v>0.041666666666666657</v>
      </c>
      <c r="P8" s="5">
        <f t="shared" si="26"/>
        <v>0.028564951258218091</v>
      </c>
      <c r="Q8" s="5">
        <f t="shared" si="27"/>
        <v>0.4223463687150838</v>
      </c>
      <c r="R8" s="5">
        <f t="shared" si="28"/>
        <v>0.091139240506329114</v>
      </c>
      <c r="S8" s="6">
        <f t="shared" si="29"/>
        <v>0.24489795918367349</v>
      </c>
      <c r="T8" s="5">
        <f t="shared" si="30"/>
        <v>0.17077209178121919</v>
      </c>
      <c r="W8" s="5">
        <f>1/AC2</f>
        <v>9.7662056919059577</v>
      </c>
      <c r="X8" s="5">
        <f>1/AC3</f>
        <v>0.31167827096202633</v>
      </c>
      <c r="Y8" s="5">
        <f>1/AC4</f>
        <v>3.1071522246025869</v>
      </c>
      <c r="Z8" s="5">
        <f>1/AC5</f>
        <v>0.82347298001648572</v>
      </c>
      <c r="AA8" s="5">
        <f>1/AC6</f>
        <v>0.45979101267826716</v>
      </c>
      <c r="AB8" s="5">
        <f>1/AC7</f>
        <v>13.653097187980123</v>
      </c>
      <c r="AC8" s="5">
        <v>1</v>
      </c>
      <c r="AD8" s="5">
        <f>(I8*T8)/T9</f>
        <v>13.55827117834732</v>
      </c>
      <c r="AG8" s="5">
        <f/>
        <v>0.10239391136608771</v>
      </c>
      <c r="AH8" s="5">
        <f/>
        <v>3.2084366899026979</v>
      </c>
      <c r="AI8" s="5">
        <f/>
        <v>0.32183811017752839</v>
      </c>
      <c r="AJ8" s="5">
        <f/>
        <v>1.2143689280247909</v>
      </c>
      <c r="AK8" s="5">
        <f/>
        <v>2.1749011451420799</v>
      </c>
      <c r="AL8" s="5">
        <f/>
        <v>0.073243454304300806</v>
      </c>
      <c r="AM8" s="5">
        <f/>
        <v>1</v>
      </c>
      <c r="AN8" s="5">
        <f/>
        <v>0.073755716112022376</v>
      </c>
      <c r="AR8" s="5">
        <f t="shared" si="31"/>
        <v>9.8685996032720453</v>
      </c>
      <c r="AS8" s="5">
        <f t="shared" si="32"/>
        <v>3.5201149608647242</v>
      </c>
      <c r="AT8" s="5">
        <f t="shared" si="33"/>
        <v>3.4289903347801154</v>
      </c>
      <c r="AU8" s="5">
        <f t="shared" si="34"/>
        <v>2.0378419080412766</v>
      </c>
      <c r="AV8" s="5">
        <f t="shared" si="35"/>
        <v>2.6346921578203473</v>
      </c>
      <c r="AW8" s="5">
        <f t="shared" si="36"/>
        <v>13.726340642284423</v>
      </c>
      <c r="AX8" s="5">
        <f t="shared" si="37"/>
        <v>2</v>
      </c>
      <c r="AY8" s="5">
        <f t="shared" si="38"/>
        <v>13.632026894459344</v>
      </c>
    </row>
    <row r="9">
      <c r="B9" s="10">
        <v>0.25</v>
      </c>
      <c r="C9" s="10">
        <v>0.5</v>
      </c>
      <c r="D9" s="10">
        <v>3</v>
      </c>
      <c r="E9" s="10">
        <v>1</v>
      </c>
      <c r="F9" s="10">
        <v>0.5</v>
      </c>
      <c r="G9" s="10">
        <v>0.5</v>
      </c>
      <c r="H9" s="10">
        <v>0.25</v>
      </c>
      <c r="I9" s="10">
        <v>1</v>
      </c>
      <c r="L9" s="5">
        <f t="shared" si="22"/>
        <v>0.011928429423459242</v>
      </c>
      <c r="M9" s="5">
        <f t="shared" si="23"/>
        <v>0.02386634844868735</v>
      </c>
      <c r="N9" s="5">
        <f t="shared" si="24"/>
        <v>0.14788732394366197</v>
      </c>
      <c r="O9" s="5">
        <f t="shared" si="25"/>
        <v>0.083333333333333315</v>
      </c>
      <c r="P9" s="5">
        <f t="shared" si="26"/>
        <v>0.028564951258218091</v>
      </c>
      <c r="Q9" s="5">
        <f t="shared" si="27"/>
        <v>0.023463687150837988</v>
      </c>
      <c r="R9" s="5">
        <f t="shared" si="28"/>
        <v>0.022784810126582278</v>
      </c>
      <c r="S9" s="6">
        <f t="shared" si="29"/>
        <v>0.061224489795918373</v>
      </c>
      <c r="T9" s="5">
        <f t="shared" si="30"/>
        <v>0.050381671685087323</v>
      </c>
      <c r="W9" s="5">
        <f>1/AD2</f>
        <v>0.080034832722648094</v>
      </c>
      <c r="X9" s="5">
        <f>1/AD3</f>
        <v>0.22988054071361197</v>
      </c>
      <c r="Y9" s="5">
        <f>1/AD4</f>
        <v>1.3750214243677632</v>
      </c>
      <c r="Z9" s="5">
        <f>1/AD5</f>
        <v>0.48588671472013589</v>
      </c>
      <c r="AA9" s="5">
        <f>1/AD6</f>
        <v>0.13564886160783021</v>
      </c>
      <c r="AB9" s="5">
        <f>1/AD7</f>
        <v>0.22377643561033619</v>
      </c>
      <c r="AC9" s="5">
        <f>1/AD8</f>
        <v>0.073755716112022376</v>
      </c>
      <c r="AD9" s="5">
        <v>1</v>
      </c>
      <c r="AG9" s="5">
        <f/>
        <v>12.494559755817701</v>
      </c>
      <c r="AH9" s="5">
        <f/>
        <v>4.3500854700259826</v>
      </c>
      <c r="AI9" s="5">
        <f/>
        <v>0.72726139555229219</v>
      </c>
      <c r="AJ9" s="5">
        <f/>
        <v>2.0580929045898819</v>
      </c>
      <c r="AK9" s="5">
        <f/>
        <v>7.3719748779836127</v>
      </c>
      <c r="AL9" s="5">
        <f/>
        <v>4.4687457697347028</v>
      </c>
      <c r="AM9" s="5">
        <f/>
        <v>13.55827117834732</v>
      </c>
      <c r="AN9" s="5">
        <f/>
        <v>1</v>
      </c>
      <c r="AR9" s="5">
        <f t="shared" si="31"/>
        <v>12.574594588540348</v>
      </c>
      <c r="AS9" s="5">
        <f t="shared" si="32"/>
        <v>4.5799660107395948</v>
      </c>
      <c r="AT9" s="5">
        <f t="shared" si="33"/>
        <v>2.1022828199200552</v>
      </c>
      <c r="AU9" s="5">
        <f t="shared" si="34"/>
        <v>2.5439796193100177</v>
      </c>
      <c r="AV9" s="5">
        <f t="shared" si="35"/>
        <v>7.5076237395914429</v>
      </c>
      <c r="AW9" s="5">
        <f t="shared" si="36"/>
        <v>4.6925222053450391</v>
      </c>
      <c r="AX9" s="5">
        <f t="shared" si="37"/>
        <v>13.632026894459344</v>
      </c>
      <c r="AY9" s="5">
        <f t="shared" si="38"/>
        <v>2</v>
      </c>
    </row>
    <row r="10">
      <c r="A10" s="2" t="s">
        <v>17</v>
      </c>
      <c r="B10" s="11">
        <f>SUM(B2:B9)</f>
        <v>20.958333333333336</v>
      </c>
      <c r="C10" s="11">
        <f>SUM(C2:C9)</f>
        <v>20.949999999999999</v>
      </c>
      <c r="D10" s="11">
        <f>SUM(D2:D9)</f>
        <v>20.285714285714285</v>
      </c>
      <c r="E10" s="11">
        <f>SUM(E2:E9)</f>
        <v>12.000000000000002</v>
      </c>
      <c r="F10" s="11">
        <f>SUM(F2:F9)</f>
        <v>17.503968253968253</v>
      </c>
      <c r="G10" s="11">
        <f>SUM(G2:G9)</f>
        <v>21.30952380952381</v>
      </c>
      <c r="H10" s="11">
        <f>SUM(H2:H9)</f>
        <v>10.972222222222221</v>
      </c>
      <c r="I10" s="11">
        <f>SUM(I2:I9)</f>
        <v>16.333333333333332</v>
      </c>
    </row>
    <row r="12">
      <c r="B12" s="2" t="s">
        <v>7</v>
      </c>
      <c r="C12" s="2">
        <f>B10*T2+C10*T3+D10*T4+E10*T5+F10*T6+G10*T7+H10*T8+I10*T9</f>
        <v>17.414266194785505</v>
      </c>
    </row>
    <row r="13">
      <c r="B13" s="2" t="s">
        <v>8</v>
      </c>
      <c r="C13" s="2">
        <f>(C12-8)/7</f>
        <v>1.3448951706836436</v>
      </c>
    </row>
    <row r="14">
      <c r="B14" s="2" t="s">
        <v>9</v>
      </c>
      <c r="C14" s="2">
        <f>C13/1.41</f>
        <v>0.95382636218698136</v>
      </c>
    </row>
    <row r="16">
      <c r="A16" s="2" t="s">
        <v>18</v>
      </c>
    </row>
    <row r="17">
      <c r="T17" s="12" t="s">
        <v>3</v>
      </c>
    </row>
    <row r="18">
      <c r="B18" s="4">
        <v>1</v>
      </c>
      <c r="C18" s="4">
        <v>3</v>
      </c>
      <c r="D18" s="4">
        <v>0.14285714285714279</v>
      </c>
      <c r="E18" s="4">
        <v>4</v>
      </c>
      <c r="F18" s="4">
        <v>8</v>
      </c>
      <c r="G18" s="4">
        <v>0.33333333333333331</v>
      </c>
      <c r="H18" s="4">
        <v>0.1111111111111111</v>
      </c>
      <c r="I18" s="4">
        <v>4</v>
      </c>
      <c r="L18" s="5">
        <f t="shared" ref="L18:L81" si="39">B18/$B$10</f>
        <v>0.04771371769383697</v>
      </c>
      <c r="M18" s="5">
        <f t="shared" ref="M18:M81" si="40">C18/$C$10</f>
        <v>0.14319809069212411</v>
      </c>
      <c r="N18" s="5">
        <f t="shared" ref="N18:N81" si="41">D18/$D$10</f>
        <v>0.0070422535211267581</v>
      </c>
      <c r="O18" s="5">
        <f t="shared" ref="O18:O81" si="42">E18/$E$10</f>
        <v>0.33333333333333326</v>
      </c>
      <c r="P18" s="5">
        <f t="shared" ref="P18:P81" si="43">F18/$F$10</f>
        <v>0.45703922013148945</v>
      </c>
      <c r="Q18" s="5">
        <f t="shared" ref="Q18:Q81" si="44">G18/$G$10</f>
        <v>0.015642458100558657</v>
      </c>
      <c r="R18" s="5">
        <f t="shared" ref="R18:R81" si="45">H18/$H$10</f>
        <v>0.010126582278481013</v>
      </c>
      <c r="S18" s="6">
        <f t="shared" ref="S18:S81" si="46">I18/$I$10</f>
        <v>0.24489795918367349</v>
      </c>
      <c r="T18" s="5">
        <f t="shared" ref="T18:T81" si="47">AVERAGE(L18:S18)</f>
        <v>0.15737420186682799</v>
      </c>
      <c r="W18" s="5">
        <v>1</v>
      </c>
      <c r="X18" s="5">
        <f>(C18*$T$18)/T19</f>
        <v>4.3083842289688619</v>
      </c>
      <c r="Y18" s="5">
        <f>(D18*$T$2)/T20</f>
        <v>0.19336102650151915</v>
      </c>
      <c r="Z18" s="5">
        <f>(E18*$T$2)/T21</f>
        <v>6.0709405916286832</v>
      </c>
      <c r="AA18" s="5">
        <f>(F18*$T$2)/T22</f>
        <v>9.2294524318287348</v>
      </c>
      <c r="AB18" s="5">
        <f>(G18*$T$2)/T23</f>
        <v>0.46599800777953937</v>
      </c>
      <c r="AC18" s="5">
        <f>(H18*$T$2)/T24</f>
        <v>0.10239391136608772</v>
      </c>
      <c r="AD18" s="5">
        <f>(I18*$T$18)/T25</f>
        <v>12.494559755817695</v>
      </c>
      <c r="AG18" s="5">
        <f t="array" ref="AG18:AN25">TRANSPOSE(W18:AD25)</f>
        <v>1</v>
      </c>
      <c r="AH18" s="5">
        <f/>
        <v>0.23210557528183429</v>
      </c>
      <c r="AI18" s="5">
        <f/>
        <v>5.171672999947293</v>
      </c>
      <c r="AJ18" s="5">
        <f/>
        <v>0.1647191213465202</v>
      </c>
      <c r="AK18" s="5">
        <f/>
        <v>0.10834878963690139</v>
      </c>
      <c r="AL18" s="5">
        <f/>
        <v>2.14593192096455</v>
      </c>
      <c r="AM18" s="5">
        <f/>
        <v>9.7662056919059577</v>
      </c>
      <c r="AN18" s="5">
        <f/>
        <v>0.080034832722648094</v>
      </c>
      <c r="AR18" s="5">
        <f t="shared" ref="AR18:AR81" si="48">W18+AG18</f>
        <v>2</v>
      </c>
      <c r="AS18" s="5">
        <f t="shared" ref="AS18:AS81" si="49">X18+AH18</f>
        <v>4.5404898042506963</v>
      </c>
      <c r="AT18" s="5">
        <f t="shared" ref="AT18:AT81" si="50">Y18+AI18</f>
        <v>5.3650340264488126</v>
      </c>
      <c r="AU18" s="5">
        <f t="shared" ref="AU18:AU81" si="51">Z18+AJ18</f>
        <v>6.2356597129752034</v>
      </c>
      <c r="AV18" s="5">
        <f t="shared" ref="AV18:AV81" si="52">AA18+AK18</f>
        <v>9.3378012214656358</v>
      </c>
      <c r="AW18" s="5">
        <f t="shared" ref="AW18:AW81" si="53">AB18+AL18</f>
        <v>2.6119299287440896</v>
      </c>
      <c r="AX18" s="5">
        <f t="shared" ref="AX18:AX81" si="54">AC18+AM18</f>
        <v>9.8685996032720453</v>
      </c>
      <c r="AY18" s="5">
        <f t="shared" ref="AY18:AY81" si="55">AD18+AN18</f>
        <v>12.574594588540343</v>
      </c>
    </row>
    <row r="19">
      <c r="B19" s="4">
        <v>0.33333333333333331</v>
      </c>
      <c r="C19" s="4">
        <v>1</v>
      </c>
      <c r="D19" s="4">
        <v>4</v>
      </c>
      <c r="E19" s="4">
        <v>0.16666666666666671</v>
      </c>
      <c r="F19" s="4">
        <v>0.14285714285714279</v>
      </c>
      <c r="G19" s="4">
        <v>0.33333333333333331</v>
      </c>
      <c r="H19" s="4">
        <v>5</v>
      </c>
      <c r="I19" s="4">
        <v>2</v>
      </c>
      <c r="L19" s="5">
        <f t="shared" si="39"/>
        <v>0.015904572564612324</v>
      </c>
      <c r="M19" s="5">
        <f t="shared" si="40"/>
        <v>0.0477326968973747</v>
      </c>
      <c r="N19" s="5">
        <f t="shared" si="41"/>
        <v>0.19718309859154931</v>
      </c>
      <c r="O19" s="5">
        <f t="shared" si="42"/>
        <v>0.01388888888888889</v>
      </c>
      <c r="P19" s="5">
        <f t="shared" si="43"/>
        <v>0.0081614146452051659</v>
      </c>
      <c r="Q19" s="5">
        <f t="shared" si="44"/>
        <v>0.015642458100558657</v>
      </c>
      <c r="R19" s="5">
        <f t="shared" si="45"/>
        <v>0.45569620253164561</v>
      </c>
      <c r="S19" s="6">
        <f t="shared" si="46"/>
        <v>0.12244897959183675</v>
      </c>
      <c r="T19" s="5">
        <f t="shared" si="47"/>
        <v>0.10958228897645893</v>
      </c>
      <c r="W19" s="5">
        <f>1/X18</f>
        <v>0.23210557528183434</v>
      </c>
      <c r="X19" s="5">
        <v>1</v>
      </c>
      <c r="Y19" s="5">
        <f>(D19*$T$3)/T20</f>
        <v>3.7699344726305761</v>
      </c>
      <c r="Z19" s="5">
        <f>(E19*$T$3)/T21</f>
        <v>0.17613739481522697</v>
      </c>
      <c r="AA19" s="5">
        <f>(F19*$T$3)/T22</f>
        <v>0.11476110890496069</v>
      </c>
      <c r="AB19" s="5">
        <f>(G19*$T$3)/T23</f>
        <v>0.32448220702757613</v>
      </c>
      <c r="AC19" s="5">
        <f>(H19*$T$3)/T24</f>
        <v>3.2084366899026979</v>
      </c>
      <c r="AD19" s="5">
        <f>(I19*$T$3)/T25</f>
        <v>4.3500854700259834</v>
      </c>
      <c r="AG19" s="5">
        <f/>
        <v>4.3083842289688619</v>
      </c>
      <c r="AH19" s="5">
        <f/>
        <v>1</v>
      </c>
      <c r="AI19" s="5">
        <f/>
        <v>0.26525659988520228</v>
      </c>
      <c r="AJ19" s="5">
        <f/>
        <v>5.677386116951646</v>
      </c>
      <c r="AK19" s="5">
        <f/>
        <v>8.7137533746571645</v>
      </c>
      <c r="AL19" s="5">
        <f/>
        <v>3.0818330815748389</v>
      </c>
      <c r="AM19" s="5">
        <f/>
        <v>0.31167827096202633</v>
      </c>
      <c r="AN19" s="5">
        <f/>
        <v>0.229880540713612</v>
      </c>
      <c r="AR19" s="5">
        <f t="shared" si="48"/>
        <v>4.5404898042506963</v>
      </c>
      <c r="AS19" s="5">
        <f t="shared" si="49"/>
        <v>2</v>
      </c>
      <c r="AT19" s="5">
        <f t="shared" si="50"/>
        <v>4.0351910725157785</v>
      </c>
      <c r="AU19" s="5">
        <f t="shared" si="51"/>
        <v>5.8535235117668734</v>
      </c>
      <c r="AV19" s="5">
        <f t="shared" si="52"/>
        <v>8.8285144835621256</v>
      </c>
      <c r="AW19" s="5">
        <f t="shared" si="53"/>
        <v>3.4063152886024151</v>
      </c>
      <c r="AX19" s="5">
        <f t="shared" si="54"/>
        <v>3.5201149608647242</v>
      </c>
      <c r="AY19" s="5">
        <f t="shared" si="55"/>
        <v>4.5799660107395956</v>
      </c>
    </row>
    <row r="20">
      <c r="B20" s="4">
        <v>7</v>
      </c>
      <c r="C20" s="4">
        <v>0.25</v>
      </c>
      <c r="D20" s="4">
        <v>1</v>
      </c>
      <c r="E20" s="4">
        <v>1</v>
      </c>
      <c r="F20" s="4">
        <v>1</v>
      </c>
      <c r="G20" s="4">
        <v>7</v>
      </c>
      <c r="H20" s="4">
        <v>0.5</v>
      </c>
      <c r="I20" s="4">
        <v>0.33333333333333331</v>
      </c>
      <c r="L20" s="5">
        <f t="shared" si="39"/>
        <v>0.33399602385685884</v>
      </c>
      <c r="M20" s="5">
        <f t="shared" si="40"/>
        <v>0.011933174224343675</v>
      </c>
      <c r="N20" s="5">
        <f t="shared" si="41"/>
        <v>0.049295774647887328</v>
      </c>
      <c r="O20" s="5">
        <f t="shared" si="42"/>
        <v>0.083333333333333315</v>
      </c>
      <c r="P20" s="5">
        <f t="shared" si="43"/>
        <v>0.057129902516436182</v>
      </c>
      <c r="Q20" s="5">
        <f t="shared" si="44"/>
        <v>0.32849162011173183</v>
      </c>
      <c r="R20" s="5">
        <f t="shared" si="45"/>
        <v>0.045569620253164557</v>
      </c>
      <c r="S20" s="6">
        <f t="shared" si="46"/>
        <v>0.020408163265306124</v>
      </c>
      <c r="T20" s="5">
        <f t="shared" si="47"/>
        <v>0.11626970152613274</v>
      </c>
      <c r="W20" s="5">
        <f>1/Y18</f>
        <v>5.1716729999472948</v>
      </c>
      <c r="X20" s="5">
        <f>1/Y19</f>
        <v>0.26525659988520234</v>
      </c>
      <c r="Y20" s="5">
        <v>1</v>
      </c>
      <c r="Z20" s="5">
        <f>(E20*$T$4)/T21</f>
        <v>1.0600999506830535</v>
      </c>
      <c r="AA20" s="5">
        <f>(F20*$T$4)/T22</f>
        <v>0.80581764226986019</v>
      </c>
      <c r="AB20" s="5">
        <f>(G20*$T$4)/T23</f>
        <v>6.8352464398550117</v>
      </c>
      <c r="AC20" s="5">
        <f>(H20*$T$4)/T24</f>
        <v>0.32183811017752845</v>
      </c>
      <c r="AD20" s="5">
        <f>(I20*$T$4)/T25</f>
        <v>0.72726139555229219</v>
      </c>
      <c r="AG20" s="5">
        <f/>
        <v>0.19336102650151921</v>
      </c>
      <c r="AH20" s="5">
        <f/>
        <v>3.7699344726305761</v>
      </c>
      <c r="AI20" s="5">
        <f/>
        <v>1</v>
      </c>
      <c r="AJ20" s="5">
        <f/>
        <v>0.94330727905012224</v>
      </c>
      <c r="AK20" s="5">
        <f/>
        <v>1.240975560156711</v>
      </c>
      <c r="AL20" s="5">
        <f/>
        <v>0.14630050412947679</v>
      </c>
      <c r="AM20" s="5">
        <f/>
        <v>3.1071522246025869</v>
      </c>
      <c r="AN20" s="5">
        <f/>
        <v>1.375021424367763</v>
      </c>
      <c r="AR20" s="5">
        <f t="shared" si="48"/>
        <v>5.3650340264488143</v>
      </c>
      <c r="AS20" s="5">
        <f t="shared" si="49"/>
        <v>4.0351910725157785</v>
      </c>
      <c r="AT20" s="5">
        <f t="shared" si="50"/>
        <v>2</v>
      </c>
      <c r="AU20" s="5">
        <f t="shared" si="51"/>
        <v>2.0034072297331758</v>
      </c>
      <c r="AV20" s="5">
        <f t="shared" si="52"/>
        <v>2.0467932024265711</v>
      </c>
      <c r="AW20" s="5">
        <f t="shared" si="53"/>
        <v>6.9815469439844886</v>
      </c>
      <c r="AX20" s="5">
        <f t="shared" si="54"/>
        <v>3.4289903347801154</v>
      </c>
      <c r="AY20" s="5">
        <f t="shared" si="55"/>
        <v>2.1022828199200552</v>
      </c>
    </row>
    <row r="21" ht="18.75" customHeight="1">
      <c r="B21" s="4">
        <v>0.25</v>
      </c>
      <c r="C21" s="4">
        <v>6</v>
      </c>
      <c r="D21" s="4">
        <v>1</v>
      </c>
      <c r="E21" s="4">
        <v>1</v>
      </c>
      <c r="F21" s="4">
        <v>0.25</v>
      </c>
      <c r="G21" s="4">
        <v>3</v>
      </c>
      <c r="H21" s="4">
        <v>2</v>
      </c>
      <c r="I21" s="4">
        <v>1</v>
      </c>
      <c r="L21" s="5">
        <f t="shared" si="39"/>
        <v>0.011928429423459242</v>
      </c>
      <c r="M21" s="5">
        <f t="shared" si="40"/>
        <v>0.28639618138424822</v>
      </c>
      <c r="N21" s="5">
        <f t="shared" si="41"/>
        <v>0.049295774647887328</v>
      </c>
      <c r="O21" s="5">
        <f t="shared" si="42"/>
        <v>0.083333333333333315</v>
      </c>
      <c r="P21" s="5">
        <f t="shared" si="43"/>
        <v>0.014282475629109045</v>
      </c>
      <c r="Q21" s="5">
        <f t="shared" si="44"/>
        <v>0.14078212290502792</v>
      </c>
      <c r="R21" s="5">
        <f t="shared" si="45"/>
        <v>0.18227848101265823</v>
      </c>
      <c r="S21" s="6">
        <f t="shared" si="46"/>
        <v>0.061224489795918373</v>
      </c>
      <c r="T21" s="5">
        <f t="shared" si="47"/>
        <v>0.1036901610164552</v>
      </c>
      <c r="W21" s="5">
        <f>1/Z18</f>
        <v>0.16471912134652017</v>
      </c>
      <c r="X21" s="5">
        <f>1/Z19</f>
        <v>5.6773861169516433</v>
      </c>
      <c r="Y21" s="5">
        <f>1/Z20</f>
        <v>0.94330727905012224</v>
      </c>
      <c r="Z21" s="5">
        <v>1</v>
      </c>
      <c r="AA21" s="5">
        <f>(F21*$T$5)/T22</f>
        <v>0.19003341188504164</v>
      </c>
      <c r="AB21" s="5">
        <f>(G21*$T$5)/T23</f>
        <v>2.7633161660642851</v>
      </c>
      <c r="AC21" s="5">
        <f>(H21*$T$5)/T24</f>
        <v>1.2143689280247911</v>
      </c>
      <c r="AD21" s="5">
        <f>(I21*$T$5)/T25</f>
        <v>2.0580929045898824</v>
      </c>
      <c r="AF21" s="2" t="s">
        <v>4</v>
      </c>
      <c r="AG21" s="5">
        <f/>
        <v>6.0709405916286832</v>
      </c>
      <c r="AH21" s="5">
        <f/>
        <v>0.17613739481522689</v>
      </c>
      <c r="AI21" s="5">
        <f/>
        <v>1.060099950683054</v>
      </c>
      <c r="AJ21" s="5">
        <f/>
        <v>1</v>
      </c>
      <c r="AK21" s="5">
        <f/>
        <v>5.2622325204840168</v>
      </c>
      <c r="AL21" s="5">
        <f/>
        <v>0.36188403349598341</v>
      </c>
      <c r="AM21" s="5">
        <f/>
        <v>0.82347298001648572</v>
      </c>
      <c r="AN21" s="5">
        <f/>
        <v>0.48588671472013589</v>
      </c>
      <c r="AP21" s="8" t="s">
        <v>5</v>
      </c>
      <c r="AR21" s="5">
        <f t="shared" si="48"/>
        <v>6.2356597129752034</v>
      </c>
      <c r="AS21" s="5">
        <f t="shared" si="49"/>
        <v>5.8535235117668698</v>
      </c>
      <c r="AT21" s="5">
        <f t="shared" si="50"/>
        <v>2.0034072297331762</v>
      </c>
      <c r="AU21" s="5">
        <f t="shared" si="51"/>
        <v>2</v>
      </c>
      <c r="AV21" s="5">
        <f t="shared" si="52"/>
        <v>5.4522659323690581</v>
      </c>
      <c r="AW21" s="5">
        <f t="shared" si="53"/>
        <v>3.1252001995602683</v>
      </c>
      <c r="AX21" s="5">
        <f t="shared" si="54"/>
        <v>2.0378419080412771</v>
      </c>
      <c r="AY21" s="5">
        <f t="shared" si="55"/>
        <v>2.5439796193100181</v>
      </c>
    </row>
    <row r="22">
      <c r="B22" s="4">
        <v>0.125</v>
      </c>
      <c r="C22" s="4">
        <v>7</v>
      </c>
      <c r="D22" s="4">
        <v>1</v>
      </c>
      <c r="E22" s="4">
        <v>4</v>
      </c>
      <c r="F22" s="4">
        <v>1</v>
      </c>
      <c r="G22" s="4">
        <v>0.14285714285714279</v>
      </c>
      <c r="H22" s="4">
        <v>2</v>
      </c>
      <c r="I22" s="4">
        <v>2</v>
      </c>
      <c r="L22" s="5">
        <f t="shared" si="39"/>
        <v>0.0059642147117296212</v>
      </c>
      <c r="M22" s="5">
        <f t="shared" si="40"/>
        <v>0.33412887828162291</v>
      </c>
      <c r="N22" s="5">
        <f t="shared" si="41"/>
        <v>0.049295774647887328</v>
      </c>
      <c r="O22" s="5">
        <f t="shared" si="42"/>
        <v>0.33333333333333326</v>
      </c>
      <c r="P22" s="5">
        <f t="shared" si="43"/>
        <v>0.057129902516436182</v>
      </c>
      <c r="Q22" s="5">
        <f t="shared" si="44"/>
        <v>0.0067039106145251361</v>
      </c>
      <c r="R22" s="5">
        <f t="shared" si="45"/>
        <v>0.18227848101265823</v>
      </c>
      <c r="S22" s="6">
        <f t="shared" si="46"/>
        <v>0.12244897959183675</v>
      </c>
      <c r="T22" s="5">
        <f t="shared" si="47"/>
        <v>0.13641043433875366</v>
      </c>
      <c r="W22" s="5">
        <f>1/AA18</f>
        <v>0.10834878963690144</v>
      </c>
      <c r="X22" s="5">
        <f>1/AA19</f>
        <v>8.713753374657168</v>
      </c>
      <c r="Y22" s="5">
        <f>1/AA20</f>
        <v>1.2409755601567112</v>
      </c>
      <c r="Z22" s="5">
        <f>1/AA21</f>
        <v>5.2622325204840168</v>
      </c>
      <c r="AA22" s="5">
        <v>1</v>
      </c>
      <c r="AB22" s="5">
        <f>(G22*$T$6)/T23</f>
        <v>0.23566775165773074</v>
      </c>
      <c r="AC22" s="5">
        <f>(H22*$T$6)/T24</f>
        <v>2.1749011451420803</v>
      </c>
      <c r="AD22" s="5">
        <f>(I22*$T$6)/T25</f>
        <v>7.3719748779836127</v>
      </c>
      <c r="AG22" s="5">
        <f/>
        <v>9.2294524318287348</v>
      </c>
      <c r="AH22" s="5">
        <f/>
        <v>0.1147611089049607</v>
      </c>
      <c r="AI22" s="5">
        <f/>
        <v>0.80581764226986019</v>
      </c>
      <c r="AJ22" s="5">
        <f/>
        <v>0.19003341188504161</v>
      </c>
      <c r="AK22" s="5">
        <f/>
        <v>1</v>
      </c>
      <c r="AL22" s="5">
        <f/>
        <v>4.2432619353552363</v>
      </c>
      <c r="AM22" s="5">
        <f/>
        <v>0.45979101267826722</v>
      </c>
      <c r="AN22" s="5">
        <f/>
        <v>0.13564886160783021</v>
      </c>
      <c r="AR22" s="5">
        <f t="shared" si="48"/>
        <v>9.3378012214656358</v>
      </c>
      <c r="AS22" s="5">
        <f t="shared" si="49"/>
        <v>8.8285144835621292</v>
      </c>
      <c r="AT22" s="5">
        <f t="shared" si="50"/>
        <v>2.0467932024265716</v>
      </c>
      <c r="AU22" s="5">
        <f t="shared" si="51"/>
        <v>5.4522659323690581</v>
      </c>
      <c r="AV22" s="5">
        <f t="shared" si="52"/>
        <v>2</v>
      </c>
      <c r="AW22" s="5">
        <f t="shared" si="53"/>
        <v>4.4789296870129673</v>
      </c>
      <c r="AX22" s="5">
        <f t="shared" si="54"/>
        <v>2.6346921578203477</v>
      </c>
      <c r="AY22" s="5">
        <f t="shared" si="55"/>
        <v>7.5076237395914429</v>
      </c>
    </row>
    <row r="23">
      <c r="B23" s="4">
        <v>3</v>
      </c>
      <c r="C23" s="4">
        <v>3</v>
      </c>
      <c r="D23" s="4">
        <v>0.14285714285714279</v>
      </c>
      <c r="E23" s="4">
        <v>0.33333333333333331</v>
      </c>
      <c r="F23" s="4">
        <v>7</v>
      </c>
      <c r="G23" s="4">
        <v>1</v>
      </c>
      <c r="H23" s="4">
        <v>0.1111111111111111</v>
      </c>
      <c r="I23" s="4">
        <v>2</v>
      </c>
      <c r="L23" s="5">
        <f t="shared" si="39"/>
        <v>0.14314115308151093</v>
      </c>
      <c r="M23" s="5">
        <f t="shared" si="40"/>
        <v>0.14319809069212411</v>
      </c>
      <c r="N23" s="5">
        <f t="shared" si="41"/>
        <v>0.0070422535211267581</v>
      </c>
      <c r="O23" s="5">
        <f t="shared" si="42"/>
        <v>0.027777777777777773</v>
      </c>
      <c r="P23" s="5">
        <f t="shared" si="43"/>
        <v>0.39990931761505327</v>
      </c>
      <c r="Q23" s="5">
        <f t="shared" si="44"/>
        <v>0.046927374301675977</v>
      </c>
      <c r="R23" s="5">
        <f t="shared" si="45"/>
        <v>0.010126582278481013</v>
      </c>
      <c r="S23" s="6">
        <f t="shared" si="46"/>
        <v>0.12244897959183675</v>
      </c>
      <c r="T23" s="5">
        <f t="shared" si="47"/>
        <v>0.11257144110744832</v>
      </c>
      <c r="W23" s="5">
        <f>1/AB18</f>
        <v>2.1459319209645495</v>
      </c>
      <c r="X23" s="5">
        <f>1/AB19</f>
        <v>3.0818330815748394</v>
      </c>
      <c r="Y23" s="5">
        <f>1/AB20</f>
        <v>0.14630050412947684</v>
      </c>
      <c r="Z23" s="5">
        <f>1/AB21</f>
        <v>0.36188403349598336</v>
      </c>
      <c r="AA23" s="5">
        <f>1/AB22</f>
        <v>4.2432619353552372</v>
      </c>
      <c r="AB23" s="5">
        <v>1</v>
      </c>
      <c r="AC23" s="5">
        <f>(H23*$T$7)/T24</f>
        <v>0.073243454304300806</v>
      </c>
      <c r="AD23" s="5">
        <f>(I23*$T$7)/T25</f>
        <v>4.4687457697347028</v>
      </c>
      <c r="AG23" s="5">
        <f/>
        <v>0.46599800777953942</v>
      </c>
      <c r="AH23" s="5">
        <f/>
        <v>0.32448220702757608</v>
      </c>
      <c r="AI23" s="5">
        <f/>
        <v>6.8352464398550117</v>
      </c>
      <c r="AJ23" s="5">
        <f/>
        <v>2.7633161660642851</v>
      </c>
      <c r="AK23" s="5">
        <f/>
        <v>0.2356677516577308</v>
      </c>
      <c r="AL23" s="5">
        <f/>
        <v>1</v>
      </c>
      <c r="AM23" s="5">
        <f/>
        <v>13.653097187980119</v>
      </c>
      <c r="AN23" s="5">
        <f/>
        <v>0.22377643561033619</v>
      </c>
      <c r="AR23" s="5">
        <f t="shared" si="48"/>
        <v>2.6119299287440891</v>
      </c>
      <c r="AS23" s="5">
        <f t="shared" si="49"/>
        <v>3.4063152886024155</v>
      </c>
      <c r="AT23" s="5">
        <f t="shared" si="50"/>
        <v>6.9815469439844886</v>
      </c>
      <c r="AU23" s="5">
        <f t="shared" si="51"/>
        <v>3.1252001995602683</v>
      </c>
      <c r="AV23" s="5">
        <f t="shared" si="52"/>
        <v>4.4789296870129682</v>
      </c>
      <c r="AW23" s="5">
        <f t="shared" si="53"/>
        <v>2</v>
      </c>
      <c r="AX23" s="13">
        <f t="shared" si="54"/>
        <v>13.72634064228442</v>
      </c>
      <c r="AY23" s="5">
        <f t="shared" si="55"/>
        <v>4.6925222053450391</v>
      </c>
    </row>
    <row r="24">
      <c r="B24" s="4">
        <v>9</v>
      </c>
      <c r="C24" s="4">
        <v>0.20000000000000001</v>
      </c>
      <c r="D24" s="4">
        <v>2</v>
      </c>
      <c r="E24" s="4">
        <v>0.5</v>
      </c>
      <c r="F24" s="4">
        <v>0.5</v>
      </c>
      <c r="G24" s="4">
        <v>9</v>
      </c>
      <c r="H24" s="4">
        <v>1</v>
      </c>
      <c r="I24" s="4">
        <v>4</v>
      </c>
      <c r="L24" s="5">
        <f t="shared" si="39"/>
        <v>0.42942345924453273</v>
      </c>
      <c r="M24" s="5">
        <f t="shared" si="40"/>
        <v>0.0095465393794749408</v>
      </c>
      <c r="N24" s="5">
        <f t="shared" si="41"/>
        <v>0.098591549295774655</v>
      </c>
      <c r="O24" s="5">
        <f t="shared" si="42"/>
        <v>0.041666666666666657</v>
      </c>
      <c r="P24" s="5">
        <f t="shared" si="43"/>
        <v>0.028564951258218091</v>
      </c>
      <c r="Q24" s="5">
        <f t="shared" si="44"/>
        <v>0.4223463687150838</v>
      </c>
      <c r="R24" s="5">
        <f t="shared" si="45"/>
        <v>0.091139240506329114</v>
      </c>
      <c r="S24" s="6">
        <f t="shared" si="46"/>
        <v>0.24489795918367349</v>
      </c>
      <c r="T24" s="5">
        <f t="shared" si="47"/>
        <v>0.17077209178121919</v>
      </c>
      <c r="W24" s="5">
        <f>1/AC18</f>
        <v>9.7662056919059577</v>
      </c>
      <c r="X24" s="5">
        <f>1/AC19</f>
        <v>0.31167827096202633</v>
      </c>
      <c r="Y24" s="5">
        <f>1/AC20</f>
        <v>3.1071522246025869</v>
      </c>
      <c r="Z24" s="5">
        <f>1/AC21</f>
        <v>0.82347298001648572</v>
      </c>
      <c r="AA24" s="5">
        <f>1/AC22</f>
        <v>0.45979101267826716</v>
      </c>
      <c r="AB24" s="5">
        <f>1/AC23</f>
        <v>13.653097187980123</v>
      </c>
      <c r="AC24" s="5">
        <v>1</v>
      </c>
      <c r="AD24" s="5">
        <f>(I24*T24)/T25</f>
        <v>13.55827117834732</v>
      </c>
      <c r="AG24" s="5">
        <f/>
        <v>0.10239391136608771</v>
      </c>
      <c r="AH24" s="5">
        <f/>
        <v>3.2084366899026979</v>
      </c>
      <c r="AI24" s="5">
        <f/>
        <v>0.32183811017752839</v>
      </c>
      <c r="AJ24" s="5">
        <f/>
        <v>1.2143689280247909</v>
      </c>
      <c r="AK24" s="5">
        <f/>
        <v>2.1749011451420799</v>
      </c>
      <c r="AL24" s="5">
        <f/>
        <v>0.073243454304300806</v>
      </c>
      <c r="AM24" s="5">
        <f/>
        <v>1</v>
      </c>
      <c r="AN24" s="5">
        <f/>
        <v>0.073755716112022376</v>
      </c>
      <c r="AR24" s="5">
        <f t="shared" si="48"/>
        <v>9.8685996032720453</v>
      </c>
      <c r="AS24" s="5">
        <f t="shared" si="49"/>
        <v>3.5201149608647242</v>
      </c>
      <c r="AT24" s="5">
        <f t="shared" si="50"/>
        <v>3.4289903347801154</v>
      </c>
      <c r="AU24" s="5">
        <f t="shared" si="51"/>
        <v>2.0378419080412766</v>
      </c>
      <c r="AV24" s="5">
        <f t="shared" si="52"/>
        <v>2.6346921578203473</v>
      </c>
      <c r="AW24" s="13">
        <f t="shared" si="53"/>
        <v>13.726340642284423</v>
      </c>
      <c r="AX24" s="5">
        <f t="shared" si="54"/>
        <v>2</v>
      </c>
      <c r="AY24" s="5">
        <f t="shared" si="55"/>
        <v>13.632026894459344</v>
      </c>
    </row>
    <row r="25">
      <c r="B25" s="10">
        <v>0.25</v>
      </c>
      <c r="C25" s="10">
        <v>0.5</v>
      </c>
      <c r="D25" s="10">
        <v>3</v>
      </c>
      <c r="E25" s="10">
        <v>1</v>
      </c>
      <c r="F25" s="10">
        <v>0.5</v>
      </c>
      <c r="G25" s="10">
        <v>0.5</v>
      </c>
      <c r="H25" s="10">
        <v>0.25</v>
      </c>
      <c r="I25" s="10">
        <v>1</v>
      </c>
      <c r="L25" s="5">
        <f t="shared" si="39"/>
        <v>0.011928429423459242</v>
      </c>
      <c r="M25" s="5">
        <f t="shared" si="40"/>
        <v>0.02386634844868735</v>
      </c>
      <c r="N25" s="5">
        <f t="shared" si="41"/>
        <v>0.14788732394366197</v>
      </c>
      <c r="O25" s="5">
        <f t="shared" si="42"/>
        <v>0.083333333333333315</v>
      </c>
      <c r="P25" s="5">
        <f t="shared" si="43"/>
        <v>0.028564951258218091</v>
      </c>
      <c r="Q25" s="5">
        <f t="shared" si="44"/>
        <v>0.023463687150837988</v>
      </c>
      <c r="R25" s="5">
        <f t="shared" si="45"/>
        <v>0.022784810126582278</v>
      </c>
      <c r="S25" s="6">
        <f t="shared" si="46"/>
        <v>0.061224489795918373</v>
      </c>
      <c r="T25" s="5">
        <f t="shared" si="47"/>
        <v>0.050381671685087323</v>
      </c>
      <c r="W25" s="5">
        <f>1/AD18</f>
        <v>0.080034832722648094</v>
      </c>
      <c r="X25" s="5">
        <f>1/AD19</f>
        <v>0.22988054071361197</v>
      </c>
      <c r="Y25" s="5">
        <f>1/AD20</f>
        <v>1.3750214243677632</v>
      </c>
      <c r="Z25" s="5">
        <f>1/AD21</f>
        <v>0.48588671472013589</v>
      </c>
      <c r="AA25" s="5">
        <f>1/AD22</f>
        <v>0.13564886160783021</v>
      </c>
      <c r="AB25" s="5">
        <f>1/AD23</f>
        <v>0.22377643561033619</v>
      </c>
      <c r="AC25" s="5">
        <f>1/AD24</f>
        <v>0.073755716112022376</v>
      </c>
      <c r="AD25" s="5">
        <v>1</v>
      </c>
      <c r="AG25" s="5">
        <f/>
        <v>12.494559755817701</v>
      </c>
      <c r="AH25" s="5">
        <f/>
        <v>4.3500854700259826</v>
      </c>
      <c r="AI25" s="5">
        <f/>
        <v>0.72726139555229219</v>
      </c>
      <c r="AJ25" s="5">
        <f/>
        <v>2.0580929045898819</v>
      </c>
      <c r="AK25" s="5">
        <f/>
        <v>7.3719748779836127</v>
      </c>
      <c r="AL25" s="5">
        <f/>
        <v>4.4687457697347028</v>
      </c>
      <c r="AM25" s="5">
        <f/>
        <v>13.55827117834732</v>
      </c>
      <c r="AN25" s="5">
        <f/>
        <v>1</v>
      </c>
      <c r="AR25" s="5">
        <f t="shared" si="48"/>
        <v>12.574594588540348</v>
      </c>
      <c r="AS25" s="5">
        <f t="shared" si="49"/>
        <v>4.5799660107395948</v>
      </c>
      <c r="AT25" s="5">
        <f t="shared" si="50"/>
        <v>2.1022828199200552</v>
      </c>
      <c r="AU25" s="5">
        <f t="shared" si="51"/>
        <v>2.5439796193100177</v>
      </c>
      <c r="AV25" s="5">
        <f t="shared" si="52"/>
        <v>7.5076237395914429</v>
      </c>
      <c r="AW25" s="5">
        <f t="shared" si="53"/>
        <v>4.6925222053450391</v>
      </c>
      <c r="AX25" s="5">
        <f t="shared" si="54"/>
        <v>13.632026894459344</v>
      </c>
      <c r="AY25" s="5">
        <f t="shared" si="55"/>
        <v>2</v>
      </c>
    </row>
    <row r="26">
      <c r="A26" s="2" t="s">
        <v>6</v>
      </c>
      <c r="B26" s="11">
        <f>SUM(B18:B25)</f>
        <v>20.958333333333336</v>
      </c>
      <c r="C26" s="11">
        <f>SUM(C18:C25)</f>
        <v>20.949999999999999</v>
      </c>
      <c r="D26" s="11">
        <f>SUM(D18:D25)</f>
        <v>12.285714285714285</v>
      </c>
      <c r="E26" s="11">
        <f>SUM(E18:E25)</f>
        <v>12.000000000000002</v>
      </c>
      <c r="F26" s="11">
        <f>SUM(F18:F25)</f>
        <v>18.392857142857142</v>
      </c>
      <c r="G26" s="11">
        <f>SUM(G18:G25)</f>
        <v>21.30952380952381</v>
      </c>
      <c r="H26" s="11">
        <f>SUM(H18:H25)</f>
        <v>10.972222222222221</v>
      </c>
      <c r="I26" s="11">
        <f>SUM(I18:I25)</f>
        <v>16.333333333333332</v>
      </c>
    </row>
    <row r="28">
      <c r="B28" s="2" t="s">
        <v>7</v>
      </c>
      <c r="C28" s="2">
        <f>B26*T18+C26*T19+D26*T20+E26*T21+F26*T22+G26*T23+H26*T24+I26*T25</f>
        <v>15.871259614121618</v>
      </c>
    </row>
    <row r="29">
      <c r="B29" s="2" t="s">
        <v>8</v>
      </c>
      <c r="C29" s="2">
        <f>(C28-8)/7</f>
        <v>1.1244656591602311</v>
      </c>
    </row>
    <row r="30">
      <c r="B30" s="2" t="s">
        <v>9</v>
      </c>
      <c r="C30" s="2">
        <f>C29/1.41</f>
        <v>0.79749337529094411</v>
      </c>
    </row>
    <row r="33">
      <c r="A33" s="2" t="s">
        <v>19</v>
      </c>
    </row>
    <row r="34">
      <c r="T34" s="12" t="s">
        <v>3</v>
      </c>
    </row>
    <row r="35">
      <c r="B35" s="4">
        <v>1</v>
      </c>
      <c r="C35" s="4">
        <v>3</v>
      </c>
      <c r="D35" s="4">
        <v>0.14285714285714279</v>
      </c>
      <c r="E35" s="4">
        <v>4</v>
      </c>
      <c r="F35" s="4">
        <v>8</v>
      </c>
      <c r="G35" s="4">
        <v>0.33333333333333331</v>
      </c>
      <c r="H35" s="4">
        <v>0.1111111111111111</v>
      </c>
      <c r="I35" s="4">
        <v>4</v>
      </c>
      <c r="L35" s="5">
        <f t="shared" si="39"/>
        <v>0.04771371769383697</v>
      </c>
      <c r="M35" s="5">
        <f t="shared" si="40"/>
        <v>0.14319809069212411</v>
      </c>
      <c r="N35" s="5">
        <f t="shared" si="41"/>
        <v>0.0070422535211267581</v>
      </c>
      <c r="O35" s="5">
        <f t="shared" si="42"/>
        <v>0.33333333333333326</v>
      </c>
      <c r="P35" s="5">
        <f t="shared" si="43"/>
        <v>0.45703922013148945</v>
      </c>
      <c r="Q35" s="5">
        <f t="shared" si="44"/>
        <v>0.015642458100558657</v>
      </c>
      <c r="R35" s="5">
        <f t="shared" si="45"/>
        <v>0.010126582278481013</v>
      </c>
      <c r="S35" s="6">
        <f t="shared" si="46"/>
        <v>0.24489795918367349</v>
      </c>
      <c r="T35" s="5">
        <f t="shared" si="47"/>
        <v>0.15737420186682799</v>
      </c>
      <c r="W35" s="5">
        <v>1</v>
      </c>
      <c r="X35" s="5">
        <f>(C35*$T$2)/T36</f>
        <v>4.3083842289688619</v>
      </c>
      <c r="Y35" s="5">
        <f>(D35*$T$2)/T37</f>
        <v>0.19336102650151915</v>
      </c>
      <c r="Z35" s="5">
        <f>(E35*$T$2)/T38</f>
        <v>6.0709405916286832</v>
      </c>
      <c r="AA35" s="5">
        <f>(F35*$T$2)/T39</f>
        <v>9.2294524318287348</v>
      </c>
      <c r="AB35" s="5">
        <f>(G35*$T$2)/T40</f>
        <v>0.42753799809751786</v>
      </c>
      <c r="AC35" s="5">
        <f>(H35*$T$2)/T41</f>
        <v>0.14119312301338902</v>
      </c>
      <c r="AD35" s="5">
        <f>(I35*$T$2)/T42</f>
        <v>12.494559755817695</v>
      </c>
      <c r="AG35" s="5">
        <f t="array" ref="AG35:AN42">TRANSPOSE(W35:AD42)</f>
        <v>1</v>
      </c>
      <c r="AH35" s="5">
        <f/>
        <v>0.23210557528183429</v>
      </c>
      <c r="AI35" s="5">
        <f/>
        <v>5.171672999947293</v>
      </c>
      <c r="AJ35" s="5">
        <f/>
        <v>0.1647191213465202</v>
      </c>
      <c r="AK35" s="5">
        <f/>
        <v>0.10834878963690139</v>
      </c>
      <c r="AL35" s="5">
        <f/>
        <v>2.3389733882131059</v>
      </c>
      <c r="AM35" s="5">
        <f/>
        <v>7.0824979195705753</v>
      </c>
      <c r="AN35" s="5">
        <f/>
        <v>0.080034832722648094</v>
      </c>
      <c r="AR35" s="5">
        <f t="shared" si="48"/>
        <v>2</v>
      </c>
      <c r="AS35" s="5">
        <f t="shared" si="49"/>
        <v>4.5404898042506963</v>
      </c>
      <c r="AT35" s="5">
        <f t="shared" si="50"/>
        <v>5.3650340264488126</v>
      </c>
      <c r="AU35" s="5">
        <f t="shared" si="51"/>
        <v>6.2356597129752034</v>
      </c>
      <c r="AV35" s="5">
        <f t="shared" si="52"/>
        <v>9.3378012214656358</v>
      </c>
      <c r="AW35" s="5">
        <f t="shared" si="53"/>
        <v>2.7665113863106239</v>
      </c>
      <c r="AX35" s="5">
        <f t="shared" si="54"/>
        <v>7.2236910425839644</v>
      </c>
      <c r="AY35" s="13">
        <f t="shared" si="55"/>
        <v>12.574594588540343</v>
      </c>
    </row>
    <row r="36">
      <c r="B36" s="4">
        <v>0.33333333333333331</v>
      </c>
      <c r="C36" s="4">
        <v>1</v>
      </c>
      <c r="D36" s="4">
        <v>4</v>
      </c>
      <c r="E36" s="4">
        <v>0.16666666666666671</v>
      </c>
      <c r="F36" s="4">
        <v>0.14285714285714279</v>
      </c>
      <c r="G36" s="4">
        <v>0.33333333333333331</v>
      </c>
      <c r="H36" s="4">
        <v>5</v>
      </c>
      <c r="I36" s="4">
        <v>2</v>
      </c>
      <c r="L36" s="5">
        <f t="shared" si="39"/>
        <v>0.015904572564612324</v>
      </c>
      <c r="M36" s="5">
        <f t="shared" si="40"/>
        <v>0.0477326968973747</v>
      </c>
      <c r="N36" s="5">
        <f t="shared" si="41"/>
        <v>0.19718309859154931</v>
      </c>
      <c r="O36" s="5">
        <f t="shared" si="42"/>
        <v>0.01388888888888889</v>
      </c>
      <c r="P36" s="5">
        <f t="shared" si="43"/>
        <v>0.0081614146452051659</v>
      </c>
      <c r="Q36" s="5">
        <f t="shared" si="44"/>
        <v>0.015642458100558657</v>
      </c>
      <c r="R36" s="5">
        <f t="shared" si="45"/>
        <v>0.45569620253164561</v>
      </c>
      <c r="S36" s="6">
        <f t="shared" si="46"/>
        <v>0.12244897959183675</v>
      </c>
      <c r="T36" s="5">
        <f t="shared" si="47"/>
        <v>0.10958228897645893</v>
      </c>
      <c r="W36" s="5">
        <f>1/X35</f>
        <v>0.23210557528183434</v>
      </c>
      <c r="X36" s="5">
        <v>1</v>
      </c>
      <c r="Y36" s="5">
        <f>(D36*$T$3)/T37</f>
        <v>3.7699344726305761</v>
      </c>
      <c r="Z36" s="5">
        <f>(E36*$T$3)/T38</f>
        <v>0.17613739481522697</v>
      </c>
      <c r="AA36" s="5">
        <f>(F36*$T$3)/T39</f>
        <v>0.11476110890496069</v>
      </c>
      <c r="AB36" s="5">
        <f>(G36*$T$3)/T40</f>
        <v>0.29770185900980456</v>
      </c>
      <c r="AC36" s="5">
        <f>(H36*$T$3)/T41</f>
        <v>4.4241809907862981</v>
      </c>
      <c r="AD36" s="5">
        <f>(I36*$T$3)/T42</f>
        <v>4.3500854700259834</v>
      </c>
      <c r="AG36" s="5">
        <f/>
        <v>4.3083842289688619</v>
      </c>
      <c r="AH36" s="5">
        <f/>
        <v>1</v>
      </c>
      <c r="AI36" s="5">
        <f/>
        <v>0.26525659988520228</v>
      </c>
      <c r="AJ36" s="5">
        <f/>
        <v>5.677386116951646</v>
      </c>
      <c r="AK36" s="5">
        <f/>
        <v>8.7137533746571645</v>
      </c>
      <c r="AL36" s="5">
        <f/>
        <v>3.3590653525850702</v>
      </c>
      <c r="AM36" s="5">
        <f/>
        <v>0.2260305358398714</v>
      </c>
      <c r="AN36" s="5">
        <f/>
        <v>0.229880540713612</v>
      </c>
      <c r="AR36" s="5">
        <f t="shared" si="48"/>
        <v>4.5404898042506963</v>
      </c>
      <c r="AS36" s="5">
        <f t="shared" si="49"/>
        <v>2</v>
      </c>
      <c r="AT36" s="5">
        <f t="shared" si="50"/>
        <v>4.0351910725157785</v>
      </c>
      <c r="AU36" s="5">
        <f t="shared" si="51"/>
        <v>5.8535235117668734</v>
      </c>
      <c r="AV36" s="5">
        <f t="shared" si="52"/>
        <v>8.8285144835621256</v>
      </c>
      <c r="AW36" s="5">
        <f t="shared" si="53"/>
        <v>3.6567672115948748</v>
      </c>
      <c r="AX36" s="5">
        <f t="shared" si="54"/>
        <v>4.6502115266261699</v>
      </c>
      <c r="AY36" s="5">
        <f t="shared" si="55"/>
        <v>4.5799660107395956</v>
      </c>
    </row>
    <row r="37">
      <c r="B37" s="4">
        <v>7</v>
      </c>
      <c r="C37" s="4">
        <v>0.25</v>
      </c>
      <c r="D37" s="4">
        <v>1</v>
      </c>
      <c r="E37" s="4">
        <v>1</v>
      </c>
      <c r="F37" s="4">
        <v>1</v>
      </c>
      <c r="G37" s="4">
        <v>7</v>
      </c>
      <c r="H37" s="4">
        <v>0.5</v>
      </c>
      <c r="I37" s="4">
        <v>0.33333333333333331</v>
      </c>
      <c r="L37" s="5">
        <f t="shared" si="39"/>
        <v>0.33399602385685884</v>
      </c>
      <c r="M37" s="5">
        <f t="shared" si="40"/>
        <v>0.011933174224343675</v>
      </c>
      <c r="N37" s="5">
        <f t="shared" si="41"/>
        <v>0.049295774647887328</v>
      </c>
      <c r="O37" s="5">
        <f t="shared" si="42"/>
        <v>0.083333333333333315</v>
      </c>
      <c r="P37" s="5">
        <f t="shared" si="43"/>
        <v>0.057129902516436182</v>
      </c>
      <c r="Q37" s="5">
        <f t="shared" si="44"/>
        <v>0.32849162011173183</v>
      </c>
      <c r="R37" s="5">
        <f t="shared" si="45"/>
        <v>0.045569620253164557</v>
      </c>
      <c r="S37" s="6">
        <f t="shared" si="46"/>
        <v>0.020408163265306124</v>
      </c>
      <c r="T37" s="5">
        <f t="shared" si="47"/>
        <v>0.11626970152613274</v>
      </c>
      <c r="W37" s="5">
        <f>1/Y35</f>
        <v>5.1716729999472948</v>
      </c>
      <c r="X37" s="5">
        <f>1/Y36</f>
        <v>0.26525659988520234</v>
      </c>
      <c r="Y37" s="5">
        <v>1</v>
      </c>
      <c r="Z37" s="5">
        <f>(E37*$T$4)/T38</f>
        <v>1.0600999506830535</v>
      </c>
      <c r="AA37" s="5">
        <f>(F37*$T$4)/T39</f>
        <v>0.80581764226986019</v>
      </c>
      <c r="AB37" s="5">
        <f>(G37*$T$4)/T40</f>
        <v>6.2711160361469442</v>
      </c>
      <c r="AC37" s="5">
        <f>(H37*$T$4)/T41</f>
        <v>0.44378935499618327</v>
      </c>
      <c r="AD37" s="5">
        <f>(I37*$T$4)/T42</f>
        <v>0.72726139555229219</v>
      </c>
      <c r="AG37" s="5">
        <f/>
        <v>0.19336102650151921</v>
      </c>
      <c r="AH37" s="5">
        <f/>
        <v>3.7699344726305761</v>
      </c>
      <c r="AI37" s="5">
        <f/>
        <v>1</v>
      </c>
      <c r="AJ37" s="5">
        <f/>
        <v>0.94330727905012224</v>
      </c>
      <c r="AK37" s="5">
        <f/>
        <v>1.240975560156711</v>
      </c>
      <c r="AL37" s="5">
        <f/>
        <v>0.15946124967804179</v>
      </c>
      <c r="AM37" s="5">
        <f/>
        <v>2.2533212857451259</v>
      </c>
      <c r="AN37" s="5">
        <f/>
        <v>1.375021424367763</v>
      </c>
      <c r="AR37" s="5">
        <f t="shared" si="48"/>
        <v>5.3650340264488143</v>
      </c>
      <c r="AS37" s="5">
        <f t="shared" si="49"/>
        <v>4.0351910725157785</v>
      </c>
      <c r="AT37" s="5">
        <f t="shared" si="50"/>
        <v>2</v>
      </c>
      <c r="AU37" s="5">
        <f t="shared" si="51"/>
        <v>2.0034072297331758</v>
      </c>
      <c r="AV37" s="5">
        <f t="shared" si="52"/>
        <v>2.0467932024265711</v>
      </c>
      <c r="AW37" s="5">
        <f t="shared" si="53"/>
        <v>6.4305772858249863</v>
      </c>
      <c r="AX37" s="5">
        <f t="shared" si="54"/>
        <v>2.6971106407413092</v>
      </c>
      <c r="AY37" s="5">
        <f t="shared" si="55"/>
        <v>2.1022828199200552</v>
      </c>
    </row>
    <row r="38" ht="18.75" customHeight="1">
      <c r="B38" s="4">
        <v>0.25</v>
      </c>
      <c r="C38" s="4">
        <v>6</v>
      </c>
      <c r="D38" s="4">
        <v>1</v>
      </c>
      <c r="E38" s="4">
        <v>1</v>
      </c>
      <c r="F38" s="4">
        <v>0.25</v>
      </c>
      <c r="G38" s="4">
        <v>3</v>
      </c>
      <c r="H38" s="4">
        <v>2</v>
      </c>
      <c r="I38" s="4">
        <v>1</v>
      </c>
      <c r="L38" s="5">
        <f t="shared" si="39"/>
        <v>0.011928429423459242</v>
      </c>
      <c r="M38" s="5">
        <f t="shared" si="40"/>
        <v>0.28639618138424822</v>
      </c>
      <c r="N38" s="5">
        <f t="shared" si="41"/>
        <v>0.049295774647887328</v>
      </c>
      <c r="O38" s="5">
        <f t="shared" si="42"/>
        <v>0.083333333333333315</v>
      </c>
      <c r="P38" s="5">
        <f t="shared" si="43"/>
        <v>0.014282475629109045</v>
      </c>
      <c r="Q38" s="5">
        <f t="shared" si="44"/>
        <v>0.14078212290502792</v>
      </c>
      <c r="R38" s="5">
        <f t="shared" si="45"/>
        <v>0.18227848101265823</v>
      </c>
      <c r="S38" s="6">
        <f t="shared" si="46"/>
        <v>0.061224489795918373</v>
      </c>
      <c r="T38" s="5">
        <f t="shared" si="47"/>
        <v>0.1036901610164552</v>
      </c>
      <c r="W38" s="5">
        <f>1/Z35</f>
        <v>0.16471912134652017</v>
      </c>
      <c r="X38" s="5">
        <f>1/Z36</f>
        <v>5.6773861169516433</v>
      </c>
      <c r="Y38" s="5">
        <f>1/Z37</f>
        <v>0.94330727905012224</v>
      </c>
      <c r="Z38" s="5">
        <v>1</v>
      </c>
      <c r="AA38" s="5">
        <f>(F38*$T$5)/T39</f>
        <v>0.19003341188504164</v>
      </c>
      <c r="AB38" s="5">
        <f>(G38*$T$5)/T40</f>
        <v>2.5352526019994408</v>
      </c>
      <c r="AC38" s="5">
        <f>(H38*$T$5)/T41</f>
        <v>1.6745189157314335</v>
      </c>
      <c r="AD38" s="5">
        <f>(I38*$T$5)/T42</f>
        <v>2.0580929045898824</v>
      </c>
      <c r="AF38" s="2" t="s">
        <v>4</v>
      </c>
      <c r="AG38" s="5">
        <f/>
        <v>6.0709405916286832</v>
      </c>
      <c r="AH38" s="5">
        <f/>
        <v>0.17613739481522689</v>
      </c>
      <c r="AI38" s="5">
        <f/>
        <v>1.060099950683054</v>
      </c>
      <c r="AJ38" s="5">
        <f/>
        <v>1</v>
      </c>
      <c r="AK38" s="5">
        <f/>
        <v>5.2622325204840168</v>
      </c>
      <c r="AL38" s="5">
        <f/>
        <v>0.39443801347895058</v>
      </c>
      <c r="AM38" s="5">
        <f/>
        <v>0.59718644597287085</v>
      </c>
      <c r="AN38" s="5">
        <f/>
        <v>0.48588671472013589</v>
      </c>
      <c r="AP38" s="8" t="s">
        <v>5</v>
      </c>
      <c r="AR38" s="5">
        <f t="shared" si="48"/>
        <v>6.2356597129752034</v>
      </c>
      <c r="AS38" s="5">
        <f t="shared" si="49"/>
        <v>5.8535235117668698</v>
      </c>
      <c r="AT38" s="5">
        <f t="shared" si="50"/>
        <v>2.0034072297331762</v>
      </c>
      <c r="AU38" s="5">
        <f t="shared" si="51"/>
        <v>2</v>
      </c>
      <c r="AV38" s="5">
        <f t="shared" si="52"/>
        <v>5.4522659323690581</v>
      </c>
      <c r="AW38" s="5">
        <f t="shared" si="53"/>
        <v>2.9296906154783913</v>
      </c>
      <c r="AX38" s="5">
        <f t="shared" si="54"/>
        <v>2.2717053617043046</v>
      </c>
      <c r="AY38" s="5">
        <f t="shared" si="55"/>
        <v>2.5439796193100181</v>
      </c>
    </row>
    <row r="39">
      <c r="B39" s="4">
        <v>0.125</v>
      </c>
      <c r="C39" s="4">
        <v>7</v>
      </c>
      <c r="D39" s="4">
        <v>1</v>
      </c>
      <c r="E39" s="4">
        <v>4</v>
      </c>
      <c r="F39" s="4">
        <v>1</v>
      </c>
      <c r="G39" s="4">
        <v>0.14285714285714279</v>
      </c>
      <c r="H39" s="4">
        <v>2</v>
      </c>
      <c r="I39" s="4">
        <v>2</v>
      </c>
      <c r="L39" s="5">
        <f t="shared" si="39"/>
        <v>0.0059642147117296212</v>
      </c>
      <c r="M39" s="5">
        <f t="shared" si="40"/>
        <v>0.33412887828162291</v>
      </c>
      <c r="N39" s="5">
        <f t="shared" si="41"/>
        <v>0.049295774647887328</v>
      </c>
      <c r="O39" s="5">
        <f t="shared" si="42"/>
        <v>0.33333333333333326</v>
      </c>
      <c r="P39" s="5">
        <f t="shared" si="43"/>
        <v>0.057129902516436182</v>
      </c>
      <c r="Q39" s="5">
        <f t="shared" si="44"/>
        <v>0.0067039106145251361</v>
      </c>
      <c r="R39" s="5">
        <f t="shared" si="45"/>
        <v>0.18227848101265823</v>
      </c>
      <c r="S39" s="6">
        <f t="shared" si="46"/>
        <v>0.12244897959183675</v>
      </c>
      <c r="T39" s="5">
        <f t="shared" si="47"/>
        <v>0.13641043433875366</v>
      </c>
      <c r="W39" s="5">
        <f>1/AA35</f>
        <v>0.10834878963690144</v>
      </c>
      <c r="X39" s="5">
        <f>1/AA36</f>
        <v>8.713753374657168</v>
      </c>
      <c r="Y39" s="5">
        <f>1/AA37</f>
        <v>1.2409755601567112</v>
      </c>
      <c r="Z39" s="5">
        <f>1/AA38</f>
        <v>5.2622325204840168</v>
      </c>
      <c r="AA39" s="5">
        <v>1</v>
      </c>
      <c r="AB39" s="5">
        <f>(G39*$T$6)/T40</f>
        <v>0.2162174882248781</v>
      </c>
      <c r="AC39" s="5">
        <f>(H39*$T$6)/T41</f>
        <v>2.9990170395005533</v>
      </c>
      <c r="AD39" s="5">
        <f>(I39*$T$6)/T42</f>
        <v>7.3719748779836127</v>
      </c>
      <c r="AG39" s="5">
        <f/>
        <v>9.2294524318287348</v>
      </c>
      <c r="AH39" s="5">
        <f/>
        <v>0.1147611089049607</v>
      </c>
      <c r="AI39" s="5">
        <f/>
        <v>0.80581764226986019</v>
      </c>
      <c r="AJ39" s="5">
        <f/>
        <v>0.19003341188504161</v>
      </c>
      <c r="AK39" s="5">
        <f/>
        <v>1</v>
      </c>
      <c r="AL39" s="5">
        <f/>
        <v>4.6249727910997862</v>
      </c>
      <c r="AM39" s="5">
        <f/>
        <v>0.33344258696393958</v>
      </c>
      <c r="AN39" s="5">
        <f/>
        <v>0.13564886160783021</v>
      </c>
      <c r="AR39" s="5">
        <f t="shared" si="48"/>
        <v>9.3378012214656358</v>
      </c>
      <c r="AS39" s="5">
        <f t="shared" si="49"/>
        <v>8.8285144835621292</v>
      </c>
      <c r="AT39" s="5">
        <f t="shared" si="50"/>
        <v>2.0467932024265716</v>
      </c>
      <c r="AU39" s="5">
        <f t="shared" si="51"/>
        <v>5.4522659323690581</v>
      </c>
      <c r="AV39" s="5">
        <f t="shared" si="52"/>
        <v>2</v>
      </c>
      <c r="AW39" s="5">
        <f t="shared" si="53"/>
        <v>4.8411902793246639</v>
      </c>
      <c r="AX39" s="5">
        <f t="shared" si="54"/>
        <v>3.3324596264644928</v>
      </c>
      <c r="AY39" s="5">
        <f t="shared" si="55"/>
        <v>7.5076237395914429</v>
      </c>
    </row>
    <row r="40">
      <c r="B40" s="4">
        <v>3</v>
      </c>
      <c r="C40" s="4">
        <v>3</v>
      </c>
      <c r="D40" s="4">
        <v>0.14285714285714279</v>
      </c>
      <c r="E40" s="4">
        <v>0.33333333333333331</v>
      </c>
      <c r="F40" s="4">
        <v>7</v>
      </c>
      <c r="G40" s="4">
        <v>1</v>
      </c>
      <c r="H40" s="4">
        <v>1</v>
      </c>
      <c r="I40" s="4">
        <v>2</v>
      </c>
      <c r="L40" s="5">
        <f t="shared" si="39"/>
        <v>0.14314115308151093</v>
      </c>
      <c r="M40" s="5">
        <f t="shared" si="40"/>
        <v>0.14319809069212411</v>
      </c>
      <c r="N40" s="5">
        <f t="shared" si="41"/>
        <v>0.0070422535211267581</v>
      </c>
      <c r="O40" s="5">
        <f t="shared" si="42"/>
        <v>0.027777777777777773</v>
      </c>
      <c r="P40" s="5">
        <f t="shared" si="43"/>
        <v>0.39990931761505327</v>
      </c>
      <c r="Q40" s="5">
        <f t="shared" si="44"/>
        <v>0.046927374301675977</v>
      </c>
      <c r="R40" s="5">
        <f t="shared" si="45"/>
        <v>0.091139240506329114</v>
      </c>
      <c r="S40" s="6">
        <f t="shared" si="46"/>
        <v>0.12244897959183675</v>
      </c>
      <c r="T40" s="5">
        <f t="shared" si="47"/>
        <v>0.12269802338592933</v>
      </c>
      <c r="W40" s="5">
        <f>1/AB35</f>
        <v>2.3389733882131063</v>
      </c>
      <c r="X40" s="5">
        <f>1/AB36</f>
        <v>3.3590653525850702</v>
      </c>
      <c r="Y40" s="5">
        <f>1/AB37</f>
        <v>0.15946124967804184</v>
      </c>
      <c r="Z40" s="5">
        <f>1/AB38</f>
        <v>0.39443801347895058</v>
      </c>
      <c r="AA40" s="5">
        <f>1/AB39</f>
        <v>4.624972791099788</v>
      </c>
      <c r="AB40" s="5">
        <v>1</v>
      </c>
      <c r="AC40" s="5">
        <f>(H40*$T$7)/T41</f>
        <v>0.90897248908531758</v>
      </c>
      <c r="AD40" s="5">
        <f>(I40*$T$7)/T42</f>
        <v>4.4687457697347028</v>
      </c>
      <c r="AG40" s="5">
        <f/>
        <v>0.42753799809751791</v>
      </c>
      <c r="AH40" s="5">
        <f/>
        <v>0.29770185900980461</v>
      </c>
      <c r="AI40" s="5">
        <f/>
        <v>6.2711160361469442</v>
      </c>
      <c r="AJ40" s="5">
        <f/>
        <v>2.5352526019994408</v>
      </c>
      <c r="AK40" s="5">
        <f/>
        <v>0.21621748822487821</v>
      </c>
      <c r="AL40" s="5">
        <f/>
        <v>1</v>
      </c>
      <c r="AM40" s="5">
        <f/>
        <v>1.100143306874207</v>
      </c>
      <c r="AN40" s="5">
        <f/>
        <v>0.22377643561033619</v>
      </c>
      <c r="AR40" s="5">
        <f t="shared" si="48"/>
        <v>2.7665113863106243</v>
      </c>
      <c r="AS40" s="5">
        <f t="shared" si="49"/>
        <v>3.6567672115948748</v>
      </c>
      <c r="AT40" s="5">
        <f t="shared" si="50"/>
        <v>6.4305772858249863</v>
      </c>
      <c r="AU40" s="5">
        <f t="shared" si="51"/>
        <v>2.9296906154783913</v>
      </c>
      <c r="AV40" s="5">
        <f t="shared" si="52"/>
        <v>4.8411902793246666</v>
      </c>
      <c r="AW40" s="5">
        <f t="shared" si="53"/>
        <v>2</v>
      </c>
      <c r="AX40" s="5">
        <f t="shared" si="54"/>
        <v>2.0091157959595245</v>
      </c>
      <c r="AY40" s="5">
        <f t="shared" si="55"/>
        <v>4.6925222053450391</v>
      </c>
    </row>
    <row r="41">
      <c r="B41" s="4">
        <v>9</v>
      </c>
      <c r="C41" s="4">
        <v>0.20000000000000001</v>
      </c>
      <c r="D41" s="4">
        <v>2</v>
      </c>
      <c r="E41" s="4">
        <v>0.5</v>
      </c>
      <c r="F41" s="4">
        <v>0.5</v>
      </c>
      <c r="G41" s="4">
        <v>1</v>
      </c>
      <c r="H41" s="4">
        <v>1</v>
      </c>
      <c r="I41" s="4">
        <v>4</v>
      </c>
      <c r="L41" s="5">
        <f t="shared" si="39"/>
        <v>0.42942345924453273</v>
      </c>
      <c r="M41" s="5">
        <f t="shared" si="40"/>
        <v>0.0095465393794749408</v>
      </c>
      <c r="N41" s="5">
        <f t="shared" si="41"/>
        <v>0.098591549295774655</v>
      </c>
      <c r="O41" s="5">
        <f t="shared" si="42"/>
        <v>0.041666666666666657</v>
      </c>
      <c r="P41" s="5">
        <f t="shared" si="43"/>
        <v>0.028564951258218091</v>
      </c>
      <c r="Q41" s="5">
        <f t="shared" si="44"/>
        <v>0.046927374301675977</v>
      </c>
      <c r="R41" s="5">
        <f t="shared" si="45"/>
        <v>0.091139240506329114</v>
      </c>
      <c r="S41" s="6">
        <f t="shared" si="46"/>
        <v>0.24489795918367349</v>
      </c>
      <c r="T41" s="5">
        <f t="shared" si="47"/>
        <v>0.1238447174795432</v>
      </c>
      <c r="W41" s="5">
        <f>1/AC35</f>
        <v>7.0824979195705753</v>
      </c>
      <c r="X41" s="5">
        <f>1/AC36</f>
        <v>0.22603053583987137</v>
      </c>
      <c r="Y41" s="5">
        <f>1/AC37</f>
        <v>2.2533212857451264</v>
      </c>
      <c r="Z41" s="5">
        <f>1/AC38</f>
        <v>0.59718644597287085</v>
      </c>
      <c r="AA41" s="5">
        <f>1/AC39</f>
        <v>0.33344258696393964</v>
      </c>
      <c r="AB41" s="5">
        <f>1/AC40</f>
        <v>1.1001433068742066</v>
      </c>
      <c r="AC41" s="5">
        <v>1</v>
      </c>
      <c r="AD41" s="5">
        <f>(I41*T41)/T42</f>
        <v>9.8325214973921167</v>
      </c>
      <c r="AG41" s="5">
        <f/>
        <v>0.14119312301338899</v>
      </c>
      <c r="AH41" s="5">
        <f/>
        <v>4.4241809907862981</v>
      </c>
      <c r="AI41" s="5">
        <f/>
        <v>0.44378935499618333</v>
      </c>
      <c r="AJ41" s="5">
        <f/>
        <v>1.674518915731434</v>
      </c>
      <c r="AK41" s="5">
        <f/>
        <v>2.9990170395005529</v>
      </c>
      <c r="AL41" s="5">
        <f/>
        <v>0.90897248908531758</v>
      </c>
      <c r="AM41" s="5">
        <f/>
        <v>1</v>
      </c>
      <c r="AN41" s="5">
        <f/>
        <v>0.1017033118376838</v>
      </c>
      <c r="AR41" s="5">
        <f t="shared" si="48"/>
        <v>7.2236910425839644</v>
      </c>
      <c r="AS41" s="5">
        <f t="shared" si="49"/>
        <v>4.6502115266261699</v>
      </c>
      <c r="AT41" s="5">
        <f t="shared" si="50"/>
        <v>2.6971106407413097</v>
      </c>
      <c r="AU41" s="5">
        <f t="shared" si="51"/>
        <v>2.2717053617043046</v>
      </c>
      <c r="AV41" s="5">
        <f t="shared" si="52"/>
        <v>3.3324596264644923</v>
      </c>
      <c r="AW41" s="5">
        <f t="shared" si="53"/>
        <v>2.0091157959595241</v>
      </c>
      <c r="AX41" s="5">
        <f t="shared" si="54"/>
        <v>2</v>
      </c>
      <c r="AY41" s="5">
        <f t="shared" si="55"/>
        <v>9.9342248092298</v>
      </c>
    </row>
    <row r="42">
      <c r="B42" s="10">
        <v>0.25</v>
      </c>
      <c r="C42" s="10">
        <v>0.5</v>
      </c>
      <c r="D42" s="10">
        <v>3</v>
      </c>
      <c r="E42" s="10">
        <v>1</v>
      </c>
      <c r="F42" s="10">
        <v>0.5</v>
      </c>
      <c r="G42" s="10">
        <v>0.5</v>
      </c>
      <c r="H42" s="10">
        <v>0.25</v>
      </c>
      <c r="I42" s="10">
        <v>1</v>
      </c>
      <c r="L42" s="5">
        <f t="shared" si="39"/>
        <v>0.011928429423459242</v>
      </c>
      <c r="M42" s="5">
        <f t="shared" si="40"/>
        <v>0.02386634844868735</v>
      </c>
      <c r="N42" s="5">
        <f t="shared" si="41"/>
        <v>0.14788732394366197</v>
      </c>
      <c r="O42" s="5">
        <f t="shared" si="42"/>
        <v>0.083333333333333315</v>
      </c>
      <c r="P42" s="5">
        <f t="shared" si="43"/>
        <v>0.028564951258218091</v>
      </c>
      <c r="Q42" s="5">
        <f t="shared" si="44"/>
        <v>0.023463687150837988</v>
      </c>
      <c r="R42" s="5">
        <f t="shared" si="45"/>
        <v>0.022784810126582278</v>
      </c>
      <c r="S42" s="6">
        <f t="shared" si="46"/>
        <v>0.061224489795918373</v>
      </c>
      <c r="T42" s="5">
        <f t="shared" si="47"/>
        <v>0.050381671685087323</v>
      </c>
      <c r="W42" s="5">
        <f>1/AD35</f>
        <v>0.080034832722648094</v>
      </c>
      <c r="X42" s="5">
        <f>1/AD36</f>
        <v>0.22988054071361197</v>
      </c>
      <c r="Y42" s="5">
        <f>1/AD37</f>
        <v>1.3750214243677632</v>
      </c>
      <c r="Z42" s="5">
        <f>1/AD38</f>
        <v>0.48588671472013589</v>
      </c>
      <c r="AA42" s="5">
        <f>1/AD39</f>
        <v>0.13564886160783021</v>
      </c>
      <c r="AB42" s="5">
        <f>1/AD40</f>
        <v>0.22377643561033619</v>
      </c>
      <c r="AC42" s="5">
        <f>1/AD41</f>
        <v>0.10170331183768379</v>
      </c>
      <c r="AD42" s="5">
        <v>1</v>
      </c>
      <c r="AG42" s="5">
        <f/>
        <v>12.494559755817701</v>
      </c>
      <c r="AH42" s="5">
        <f/>
        <v>4.3500854700259826</v>
      </c>
      <c r="AI42" s="5">
        <f/>
        <v>0.72726139555229219</v>
      </c>
      <c r="AJ42" s="5">
        <f/>
        <v>2.0580929045898819</v>
      </c>
      <c r="AK42" s="5">
        <f/>
        <v>7.3719748779836127</v>
      </c>
      <c r="AL42" s="5">
        <f/>
        <v>4.4687457697347028</v>
      </c>
      <c r="AM42" s="5">
        <f/>
        <v>9.8325214973921167</v>
      </c>
      <c r="AN42" s="5">
        <f/>
        <v>1</v>
      </c>
      <c r="AR42" s="13">
        <f t="shared" si="48"/>
        <v>12.574594588540348</v>
      </c>
      <c r="AS42" s="5">
        <f t="shared" si="49"/>
        <v>4.5799660107395948</v>
      </c>
      <c r="AT42" s="5">
        <f t="shared" si="50"/>
        <v>2.1022828199200552</v>
      </c>
      <c r="AU42" s="5">
        <f t="shared" si="51"/>
        <v>2.5439796193100177</v>
      </c>
      <c r="AV42" s="5">
        <f t="shared" si="52"/>
        <v>7.5076237395914429</v>
      </c>
      <c r="AW42" s="5">
        <f t="shared" si="53"/>
        <v>4.6925222053450391</v>
      </c>
      <c r="AX42" s="5">
        <f t="shared" si="54"/>
        <v>9.9342248092298</v>
      </c>
      <c r="AY42" s="5">
        <f t="shared" si="55"/>
        <v>2</v>
      </c>
    </row>
    <row r="43">
      <c r="A43" s="2" t="s">
        <v>6</v>
      </c>
      <c r="B43" s="11">
        <f>SUM(B35:B42)</f>
        <v>20.958333333333336</v>
      </c>
      <c r="C43" s="11">
        <f>SUM(C35:C42)</f>
        <v>20.949999999999999</v>
      </c>
      <c r="D43" s="11">
        <f>SUM(D35:D42)</f>
        <v>12.285714285714285</v>
      </c>
      <c r="E43" s="11">
        <f>SUM(E35:E42)</f>
        <v>12.000000000000002</v>
      </c>
      <c r="F43" s="11">
        <f>SUM(F35:F42)</f>
        <v>18.392857142857142</v>
      </c>
      <c r="G43" s="11">
        <f>SUM(G35:G42)</f>
        <v>13.30952380952381</v>
      </c>
      <c r="H43" s="11">
        <f>SUM(H35:H42)</f>
        <v>11.861111111111111</v>
      </c>
      <c r="I43" s="11">
        <f>SUM(I35:I42)</f>
        <v>16.333333333333332</v>
      </c>
    </row>
    <row r="45">
      <c r="B45" s="2" t="s">
        <v>7</v>
      </c>
      <c r="C45" s="2">
        <f>B43*T35+C43*T36+D43*T37+E43*T38+F43*T39+G43*T40+H43*T41+I43*T42</f>
        <v>14.700654687378337</v>
      </c>
    </row>
    <row r="46">
      <c r="B46" s="2" t="s">
        <v>8</v>
      </c>
      <c r="C46" s="2">
        <f>(C45-8)/7</f>
        <v>0.95723638391119104</v>
      </c>
    </row>
    <row r="47">
      <c r="B47" s="2" t="s">
        <v>9</v>
      </c>
      <c r="C47" s="2">
        <f>C46/1.41</f>
        <v>0.67889105241928449</v>
      </c>
    </row>
    <row r="51">
      <c r="A51" s="2" t="s">
        <v>20</v>
      </c>
    </row>
    <row r="52">
      <c r="T52" s="12" t="s">
        <v>3</v>
      </c>
    </row>
    <row r="53">
      <c r="B53" s="4">
        <v>1</v>
      </c>
      <c r="C53" s="4">
        <v>3</v>
      </c>
      <c r="D53" s="4">
        <v>0.14285714285714279</v>
      </c>
      <c r="E53" s="4">
        <v>4</v>
      </c>
      <c r="F53" s="4">
        <v>8</v>
      </c>
      <c r="G53" s="4">
        <v>0.33333333333333331</v>
      </c>
      <c r="H53" s="4">
        <v>0.1111111111111111</v>
      </c>
      <c r="I53" s="4">
        <v>1</v>
      </c>
      <c r="L53" s="5">
        <f t="shared" si="39"/>
        <v>0.04771371769383697</v>
      </c>
      <c r="M53" s="5">
        <f t="shared" si="40"/>
        <v>0.14319809069212411</v>
      </c>
      <c r="N53" s="5">
        <f t="shared" si="41"/>
        <v>0.0070422535211267581</v>
      </c>
      <c r="O53" s="5">
        <f t="shared" si="42"/>
        <v>0.33333333333333326</v>
      </c>
      <c r="P53" s="5">
        <f t="shared" si="43"/>
        <v>0.45703922013148945</v>
      </c>
      <c r="Q53" s="5">
        <f t="shared" si="44"/>
        <v>0.015642458100558657</v>
      </c>
      <c r="R53" s="5">
        <f t="shared" si="45"/>
        <v>0.010126582278481013</v>
      </c>
      <c r="S53" s="6">
        <f t="shared" si="46"/>
        <v>0.061224489795918373</v>
      </c>
      <c r="T53" s="5">
        <f t="shared" si="47"/>
        <v>0.1344150181933586</v>
      </c>
      <c r="W53" s="5">
        <v>1</v>
      </c>
      <c r="X53" s="5">
        <f>(C53*$T$2)/T54</f>
        <v>4.3083842289688619</v>
      </c>
      <c r="Y53" s="5">
        <f>(D53*$T$2)/T55</f>
        <v>0.19336102650151915</v>
      </c>
      <c r="Z53" s="5">
        <f>(E53*$T$2)/T56</f>
        <v>6.0709405916286832</v>
      </c>
      <c r="AA53" s="5">
        <f>(F53*$T$2)/T57</f>
        <v>9.2294524318287348</v>
      </c>
      <c r="AB53" s="5">
        <f>(G53*$T$2)/T58</f>
        <v>0.42753799809751786</v>
      </c>
      <c r="AC53" s="5">
        <f>(H53*$T$2)/T59</f>
        <v>0.14119312301338902</v>
      </c>
      <c r="AD53" s="5">
        <f>(I53*$T$2)/T60</f>
        <v>2.868921370580531</v>
      </c>
      <c r="AG53" s="5">
        <f t="array" ref="AG53:AN60">TRANSPOSE(W53:AD60)</f>
        <v>1</v>
      </c>
      <c r="AH53" s="5">
        <f/>
        <v>0.23210557528183429</v>
      </c>
      <c r="AI53" s="5">
        <f/>
        <v>5.171672999947293</v>
      </c>
      <c r="AJ53" s="5">
        <f/>
        <v>0.1647191213465202</v>
      </c>
      <c r="AK53" s="5">
        <f/>
        <v>0.10834878963690139</v>
      </c>
      <c r="AL53" s="5">
        <f/>
        <v>2.3389733882131059</v>
      </c>
      <c r="AM53" s="5">
        <f/>
        <v>7.0824979195705753</v>
      </c>
      <c r="AN53" s="5">
        <f/>
        <v>0.3485630558768672</v>
      </c>
      <c r="AR53" s="5">
        <f t="shared" si="48"/>
        <v>2</v>
      </c>
      <c r="AS53" s="5">
        <f t="shared" si="49"/>
        <v>4.5404898042506963</v>
      </c>
      <c r="AT53" s="5">
        <f t="shared" si="50"/>
        <v>5.3650340264488126</v>
      </c>
      <c r="AU53" s="5">
        <f t="shared" si="51"/>
        <v>6.2356597129752034</v>
      </c>
      <c r="AV53" s="13">
        <f t="shared" si="52"/>
        <v>9.3378012214656358</v>
      </c>
      <c r="AW53" s="5">
        <f t="shared" si="53"/>
        <v>2.7665113863106239</v>
      </c>
      <c r="AX53" s="5">
        <f t="shared" si="54"/>
        <v>7.2236910425839644</v>
      </c>
      <c r="AY53" s="5">
        <f t="shared" si="55"/>
        <v>3.2174844264573981</v>
      </c>
    </row>
    <row r="54">
      <c r="B54" s="4">
        <v>0.33333333333333331</v>
      </c>
      <c r="C54" s="4">
        <v>1</v>
      </c>
      <c r="D54" s="4">
        <v>4</v>
      </c>
      <c r="E54" s="4">
        <v>0.16666666666666671</v>
      </c>
      <c r="F54" s="4">
        <v>0.14285714285714279</v>
      </c>
      <c r="G54" s="4">
        <v>0.33333333333333331</v>
      </c>
      <c r="H54" s="4">
        <v>5</v>
      </c>
      <c r="I54" s="4">
        <v>2</v>
      </c>
      <c r="L54" s="5">
        <f t="shared" si="39"/>
        <v>0.015904572564612324</v>
      </c>
      <c r="M54" s="5">
        <f t="shared" si="40"/>
        <v>0.0477326968973747</v>
      </c>
      <c r="N54" s="5">
        <f t="shared" si="41"/>
        <v>0.19718309859154931</v>
      </c>
      <c r="O54" s="5">
        <f t="shared" si="42"/>
        <v>0.01388888888888889</v>
      </c>
      <c r="P54" s="5">
        <f t="shared" si="43"/>
        <v>0.0081614146452051659</v>
      </c>
      <c r="Q54" s="5">
        <f t="shared" si="44"/>
        <v>0.015642458100558657</v>
      </c>
      <c r="R54" s="5">
        <f t="shared" si="45"/>
        <v>0.45569620253164561</v>
      </c>
      <c r="S54" s="6">
        <f t="shared" si="46"/>
        <v>0.12244897959183675</v>
      </c>
      <c r="T54" s="5">
        <f t="shared" si="47"/>
        <v>0.10958228897645893</v>
      </c>
      <c r="W54" s="5">
        <f>1/X53</f>
        <v>0.23210557528183434</v>
      </c>
      <c r="X54" s="5">
        <v>1</v>
      </c>
      <c r="Y54" s="5">
        <f>(D54*$T$3)/T55</f>
        <v>3.7699344726305761</v>
      </c>
      <c r="Z54" s="5">
        <f>(E54*$T$3)/T56</f>
        <v>0.17613739481522697</v>
      </c>
      <c r="AA54" s="5">
        <f>(F54*$T$3)/T57</f>
        <v>0.11476110890496069</v>
      </c>
      <c r="AB54" s="5">
        <f>(G54*$T$3)/T58</f>
        <v>0.29770185900980456</v>
      </c>
      <c r="AC54" s="5">
        <f>(H54*$T$3)/T59</f>
        <v>4.4241809907862981</v>
      </c>
      <c r="AD54" s="5">
        <f>(I54*$T$3)/T60</f>
        <v>3.995355870941657</v>
      </c>
      <c r="AG54" s="5">
        <f/>
        <v>4.3083842289688619</v>
      </c>
      <c r="AH54" s="5">
        <f/>
        <v>1</v>
      </c>
      <c r="AI54" s="5">
        <f/>
        <v>0.26525659988520228</v>
      </c>
      <c r="AJ54" s="5">
        <f/>
        <v>5.677386116951646</v>
      </c>
      <c r="AK54" s="5">
        <f/>
        <v>8.7137533746571645</v>
      </c>
      <c r="AL54" s="5">
        <f/>
        <v>3.3590653525850702</v>
      </c>
      <c r="AM54" s="5">
        <f/>
        <v>0.2260305358398714</v>
      </c>
      <c r="AN54" s="5">
        <f/>
        <v>0.25029059545684779</v>
      </c>
      <c r="AR54" s="5">
        <f t="shared" si="48"/>
        <v>4.5404898042506963</v>
      </c>
      <c r="AS54" s="5">
        <f t="shared" si="49"/>
        <v>2</v>
      </c>
      <c r="AT54" s="5">
        <f t="shared" si="50"/>
        <v>4.0351910725157785</v>
      </c>
      <c r="AU54" s="5">
        <f t="shared" si="51"/>
        <v>5.8535235117668734</v>
      </c>
      <c r="AV54" s="5">
        <f t="shared" si="52"/>
        <v>8.8285144835621256</v>
      </c>
      <c r="AW54" s="5">
        <f t="shared" si="53"/>
        <v>3.6567672115948748</v>
      </c>
      <c r="AX54" s="5">
        <f t="shared" si="54"/>
        <v>4.6502115266261699</v>
      </c>
      <c r="AY54" s="5">
        <f t="shared" si="55"/>
        <v>4.2456464663985045</v>
      </c>
    </row>
    <row r="55">
      <c r="B55" s="4">
        <v>7</v>
      </c>
      <c r="C55" s="4">
        <v>0.25</v>
      </c>
      <c r="D55" s="4">
        <v>1</v>
      </c>
      <c r="E55" s="4">
        <v>1</v>
      </c>
      <c r="F55" s="4">
        <v>1</v>
      </c>
      <c r="G55" s="4">
        <v>7</v>
      </c>
      <c r="H55" s="4">
        <v>0.5</v>
      </c>
      <c r="I55" s="4">
        <v>0.33333333333333331</v>
      </c>
      <c r="L55" s="5">
        <f t="shared" si="39"/>
        <v>0.33399602385685884</v>
      </c>
      <c r="M55" s="5">
        <f t="shared" si="40"/>
        <v>0.011933174224343675</v>
      </c>
      <c r="N55" s="5">
        <f t="shared" si="41"/>
        <v>0.049295774647887328</v>
      </c>
      <c r="O55" s="5">
        <f t="shared" si="42"/>
        <v>0.083333333333333315</v>
      </c>
      <c r="P55" s="5">
        <f t="shared" si="43"/>
        <v>0.057129902516436182</v>
      </c>
      <c r="Q55" s="5">
        <f t="shared" si="44"/>
        <v>0.32849162011173183</v>
      </c>
      <c r="R55" s="5">
        <f t="shared" si="45"/>
        <v>0.045569620253164557</v>
      </c>
      <c r="S55" s="6">
        <f t="shared" si="46"/>
        <v>0.020408163265306124</v>
      </c>
      <c r="T55" s="5">
        <f t="shared" si="47"/>
        <v>0.11626970152613274</v>
      </c>
      <c r="W55" s="5">
        <f>1/Y53</f>
        <v>5.1716729999472948</v>
      </c>
      <c r="X55" s="5">
        <f>1/Y54</f>
        <v>0.26525659988520234</v>
      </c>
      <c r="Y55" s="5">
        <v>1</v>
      </c>
      <c r="Z55" s="5">
        <f>(E55*$T$4)/T56</f>
        <v>1.0600999506830535</v>
      </c>
      <c r="AA55" s="5">
        <f>(F55*$T$4)/T57</f>
        <v>0.80581764226986019</v>
      </c>
      <c r="AB55" s="5">
        <f>(G55*$T$4)/T58</f>
        <v>6.2711160361469442</v>
      </c>
      <c r="AC55" s="5">
        <f>(H55*$T$4)/T59</f>
        <v>0.44378935499618327</v>
      </c>
      <c r="AD55" s="5">
        <f>(I55*$T$4)/T60</f>
        <v>0.66795655084260164</v>
      </c>
      <c r="AG55" s="5">
        <f/>
        <v>0.19336102650151921</v>
      </c>
      <c r="AH55" s="5">
        <f/>
        <v>3.7699344726305761</v>
      </c>
      <c r="AI55" s="5">
        <f/>
        <v>1</v>
      </c>
      <c r="AJ55" s="5">
        <f/>
        <v>0.94330727905012224</v>
      </c>
      <c r="AK55" s="5">
        <f/>
        <v>1.240975560156711</v>
      </c>
      <c r="AL55" s="5">
        <f/>
        <v>0.15946124967804179</v>
      </c>
      <c r="AM55" s="5">
        <f/>
        <v>2.2533212857451259</v>
      </c>
      <c r="AN55" s="5">
        <f/>
        <v>1.4971033650894481</v>
      </c>
      <c r="AR55" s="5">
        <f t="shared" si="48"/>
        <v>5.3650340264488143</v>
      </c>
      <c r="AS55" s="5">
        <f t="shared" si="49"/>
        <v>4.0351910725157785</v>
      </c>
      <c r="AT55" s="5">
        <f t="shared" si="50"/>
        <v>2</v>
      </c>
      <c r="AU55" s="5">
        <f t="shared" si="51"/>
        <v>2.0034072297331758</v>
      </c>
      <c r="AV55" s="5">
        <f t="shared" si="52"/>
        <v>2.0467932024265711</v>
      </c>
      <c r="AW55" s="5">
        <f t="shared" si="53"/>
        <v>6.4305772858249863</v>
      </c>
      <c r="AX55" s="5">
        <f t="shared" si="54"/>
        <v>2.6971106407413092</v>
      </c>
      <c r="AY55" s="5">
        <f t="shared" si="55"/>
        <v>2.1650599159320496</v>
      </c>
    </row>
    <row r="56" ht="18.75" customHeight="1">
      <c r="B56" s="4">
        <v>0.25</v>
      </c>
      <c r="C56" s="4">
        <v>6</v>
      </c>
      <c r="D56" s="4">
        <v>1</v>
      </c>
      <c r="E56" s="4">
        <v>1</v>
      </c>
      <c r="F56" s="4">
        <v>0.25</v>
      </c>
      <c r="G56" s="4">
        <v>3</v>
      </c>
      <c r="H56" s="4">
        <v>2</v>
      </c>
      <c r="I56" s="4">
        <v>1</v>
      </c>
      <c r="L56" s="5">
        <f t="shared" si="39"/>
        <v>0.011928429423459242</v>
      </c>
      <c r="M56" s="5">
        <f t="shared" si="40"/>
        <v>0.28639618138424822</v>
      </c>
      <c r="N56" s="5">
        <f t="shared" si="41"/>
        <v>0.049295774647887328</v>
      </c>
      <c r="O56" s="5">
        <f t="shared" si="42"/>
        <v>0.083333333333333315</v>
      </c>
      <c r="P56" s="5">
        <f t="shared" si="43"/>
        <v>0.014282475629109045</v>
      </c>
      <c r="Q56" s="5">
        <f t="shared" si="44"/>
        <v>0.14078212290502792</v>
      </c>
      <c r="R56" s="5">
        <f t="shared" si="45"/>
        <v>0.18227848101265823</v>
      </c>
      <c r="S56" s="6">
        <f t="shared" si="46"/>
        <v>0.061224489795918373</v>
      </c>
      <c r="T56" s="5">
        <f t="shared" si="47"/>
        <v>0.1036901610164552</v>
      </c>
      <c r="W56" s="5">
        <f>1/Z53</f>
        <v>0.16471912134652017</v>
      </c>
      <c r="X56" s="5">
        <f>1/Z54</f>
        <v>5.6773861169516433</v>
      </c>
      <c r="Y56" s="5">
        <f>1/Z55</f>
        <v>0.94330727905012224</v>
      </c>
      <c r="Z56" s="5">
        <v>1</v>
      </c>
      <c r="AA56" s="5">
        <f>(F56*$T$5)/T57</f>
        <v>0.19003341188504164</v>
      </c>
      <c r="AB56" s="5">
        <f>(G56*$T$5)/T58</f>
        <v>2.5352526019994408</v>
      </c>
      <c r="AC56" s="5">
        <f>(H56*$T$5)/T59</f>
        <v>1.6745189157314335</v>
      </c>
      <c r="AD56" s="5">
        <f>(I56*$T$5)/T60</f>
        <v>1.8902648294971176</v>
      </c>
      <c r="AF56" s="2" t="s">
        <v>4</v>
      </c>
      <c r="AG56" s="5">
        <f/>
        <v>6.0709405916286832</v>
      </c>
      <c r="AH56" s="5">
        <f/>
        <v>0.17613739481522689</v>
      </c>
      <c r="AI56" s="5">
        <f/>
        <v>1.060099950683054</v>
      </c>
      <c r="AJ56" s="5">
        <f/>
        <v>1</v>
      </c>
      <c r="AK56" s="5">
        <f/>
        <v>5.2622325204840168</v>
      </c>
      <c r="AL56" s="5">
        <f/>
        <v>0.39443801347895058</v>
      </c>
      <c r="AM56" s="5">
        <f/>
        <v>0.59718644597287085</v>
      </c>
      <c r="AN56" s="5">
        <f/>
        <v>0.52902640116625244</v>
      </c>
      <c r="AP56" s="8" t="s">
        <v>5</v>
      </c>
      <c r="AR56" s="5">
        <f t="shared" si="48"/>
        <v>6.2356597129752034</v>
      </c>
      <c r="AS56" s="5">
        <f t="shared" si="49"/>
        <v>5.8535235117668698</v>
      </c>
      <c r="AT56" s="5">
        <f t="shared" si="50"/>
        <v>2.0034072297331762</v>
      </c>
      <c r="AU56" s="5">
        <f t="shared" si="51"/>
        <v>2</v>
      </c>
      <c r="AV56" s="5">
        <f t="shared" si="52"/>
        <v>5.4522659323690581</v>
      </c>
      <c r="AW56" s="5">
        <f t="shared" si="53"/>
        <v>2.9296906154783913</v>
      </c>
      <c r="AX56" s="5">
        <f t="shared" si="54"/>
        <v>2.2717053617043046</v>
      </c>
      <c r="AY56" s="5">
        <f t="shared" si="55"/>
        <v>2.41929123066337</v>
      </c>
    </row>
    <row r="57">
      <c r="B57" s="4">
        <v>0.125</v>
      </c>
      <c r="C57" s="4">
        <v>7</v>
      </c>
      <c r="D57" s="4">
        <v>1</v>
      </c>
      <c r="E57" s="4">
        <v>4</v>
      </c>
      <c r="F57" s="4">
        <v>1</v>
      </c>
      <c r="G57" s="4">
        <v>0.14285714285714279</v>
      </c>
      <c r="H57" s="4">
        <v>2</v>
      </c>
      <c r="I57" s="4">
        <v>2</v>
      </c>
      <c r="L57" s="5">
        <f t="shared" si="39"/>
        <v>0.0059642147117296212</v>
      </c>
      <c r="M57" s="5">
        <f t="shared" si="40"/>
        <v>0.33412887828162291</v>
      </c>
      <c r="N57" s="5">
        <f t="shared" si="41"/>
        <v>0.049295774647887328</v>
      </c>
      <c r="O57" s="5">
        <f t="shared" si="42"/>
        <v>0.33333333333333326</v>
      </c>
      <c r="P57" s="5">
        <f t="shared" si="43"/>
        <v>0.057129902516436182</v>
      </c>
      <c r="Q57" s="5">
        <f t="shared" si="44"/>
        <v>0.0067039106145251361</v>
      </c>
      <c r="R57" s="5">
        <f t="shared" si="45"/>
        <v>0.18227848101265823</v>
      </c>
      <c r="S57" s="6">
        <f t="shared" si="46"/>
        <v>0.12244897959183675</v>
      </c>
      <c r="T57" s="5">
        <f t="shared" si="47"/>
        <v>0.13641043433875366</v>
      </c>
      <c r="W57" s="5">
        <f>1/AA53</f>
        <v>0.10834878963690144</v>
      </c>
      <c r="X57" s="5">
        <f>1/AA54</f>
        <v>8.713753374657168</v>
      </c>
      <c r="Y57" s="5">
        <f>1/AA55</f>
        <v>1.2409755601567112</v>
      </c>
      <c r="Z57" s="5">
        <f>1/AA56</f>
        <v>5.2622325204840168</v>
      </c>
      <c r="AA57" s="5">
        <v>1</v>
      </c>
      <c r="AB57" s="5">
        <f>(G57*$T$6)/T58</f>
        <v>0.2162174882248781</v>
      </c>
      <c r="AC57" s="5">
        <f>(H57*$T$6)/T59</f>
        <v>2.9990170395005533</v>
      </c>
      <c r="AD57" s="5">
        <f>(I57*$T$6)/T60</f>
        <v>6.7708240015362975</v>
      </c>
      <c r="AG57" s="5">
        <f/>
        <v>9.2294524318287348</v>
      </c>
      <c r="AH57" s="5">
        <f/>
        <v>0.1147611089049607</v>
      </c>
      <c r="AI57" s="5">
        <f/>
        <v>0.80581764226986019</v>
      </c>
      <c r="AJ57" s="5">
        <f/>
        <v>0.19003341188504161</v>
      </c>
      <c r="AK57" s="5">
        <f/>
        <v>1</v>
      </c>
      <c r="AL57" s="5">
        <f/>
        <v>4.6249727910997862</v>
      </c>
      <c r="AM57" s="5">
        <f/>
        <v>0.33344258696393958</v>
      </c>
      <c r="AN57" s="5">
        <f/>
        <v>0.14769251124724261</v>
      </c>
      <c r="AR57" s="13">
        <f t="shared" si="48"/>
        <v>9.3378012214656358</v>
      </c>
      <c r="AS57" s="5">
        <f t="shared" si="49"/>
        <v>8.8285144835621292</v>
      </c>
      <c r="AT57" s="5">
        <f t="shared" si="50"/>
        <v>2.0467932024265716</v>
      </c>
      <c r="AU57" s="5">
        <f t="shared" si="51"/>
        <v>5.4522659323690581</v>
      </c>
      <c r="AV57" s="5">
        <f t="shared" si="52"/>
        <v>2</v>
      </c>
      <c r="AW57" s="5">
        <f t="shared" si="53"/>
        <v>4.8411902793246639</v>
      </c>
      <c r="AX57" s="5">
        <f t="shared" si="54"/>
        <v>3.3324596264644928</v>
      </c>
      <c r="AY57" s="5">
        <f t="shared" si="55"/>
        <v>6.9185165127835404</v>
      </c>
    </row>
    <row r="58">
      <c r="B58" s="4">
        <v>3</v>
      </c>
      <c r="C58" s="4">
        <v>3</v>
      </c>
      <c r="D58" s="4">
        <v>0.14285714285714279</v>
      </c>
      <c r="E58" s="4">
        <v>0.33333333333333331</v>
      </c>
      <c r="F58" s="4">
        <v>7</v>
      </c>
      <c r="G58" s="4">
        <v>1</v>
      </c>
      <c r="H58" s="4">
        <v>1</v>
      </c>
      <c r="I58" s="4">
        <v>2</v>
      </c>
      <c r="L58" s="5">
        <f t="shared" si="39"/>
        <v>0.14314115308151093</v>
      </c>
      <c r="M58" s="5">
        <f t="shared" si="40"/>
        <v>0.14319809069212411</v>
      </c>
      <c r="N58" s="5">
        <f t="shared" si="41"/>
        <v>0.0070422535211267581</v>
      </c>
      <c r="O58" s="5">
        <f t="shared" si="42"/>
        <v>0.027777777777777773</v>
      </c>
      <c r="P58" s="5">
        <f t="shared" si="43"/>
        <v>0.39990931761505327</v>
      </c>
      <c r="Q58" s="5">
        <f t="shared" si="44"/>
        <v>0.046927374301675977</v>
      </c>
      <c r="R58" s="5">
        <f t="shared" si="45"/>
        <v>0.091139240506329114</v>
      </c>
      <c r="S58" s="6">
        <f t="shared" si="46"/>
        <v>0.12244897959183675</v>
      </c>
      <c r="T58" s="5">
        <f t="shared" si="47"/>
        <v>0.12269802338592933</v>
      </c>
      <c r="W58" s="5">
        <f>1/AB53</f>
        <v>2.3389733882131063</v>
      </c>
      <c r="X58" s="5">
        <f>1/AB54</f>
        <v>3.3590653525850702</v>
      </c>
      <c r="Y58" s="5">
        <f>1/AB55</f>
        <v>0.15946124967804184</v>
      </c>
      <c r="Z58" s="5">
        <f>1/AB56</f>
        <v>0.39443801347895058</v>
      </c>
      <c r="AA58" s="5">
        <f>1/AB57</f>
        <v>4.624972791099788</v>
      </c>
      <c r="AB58" s="5">
        <v>1</v>
      </c>
      <c r="AC58" s="5">
        <f>(H58*$T$7)/T59</f>
        <v>0.90897248908531758</v>
      </c>
      <c r="AD58" s="5">
        <f>(I58*$T$7)/T60</f>
        <v>4.1043399652440842</v>
      </c>
      <c r="AG58" s="5">
        <f/>
        <v>0.42753799809751791</v>
      </c>
      <c r="AH58" s="5">
        <f/>
        <v>0.29770185900980461</v>
      </c>
      <c r="AI58" s="5">
        <f/>
        <v>6.2711160361469442</v>
      </c>
      <c r="AJ58" s="5">
        <f/>
        <v>2.5352526019994408</v>
      </c>
      <c r="AK58" s="5">
        <f/>
        <v>0.21621748822487821</v>
      </c>
      <c r="AL58" s="5">
        <f/>
        <v>1</v>
      </c>
      <c r="AM58" s="5">
        <f/>
        <v>1.100143306874207</v>
      </c>
      <c r="AN58" s="5">
        <f/>
        <v>0.24364453443625261</v>
      </c>
      <c r="AR58" s="5">
        <f t="shared" si="48"/>
        <v>2.7665113863106243</v>
      </c>
      <c r="AS58" s="5">
        <f t="shared" si="49"/>
        <v>3.6567672115948748</v>
      </c>
      <c r="AT58" s="5">
        <f t="shared" si="50"/>
        <v>6.4305772858249863</v>
      </c>
      <c r="AU58" s="5">
        <f t="shared" si="51"/>
        <v>2.9296906154783913</v>
      </c>
      <c r="AV58" s="5">
        <f t="shared" si="52"/>
        <v>4.8411902793246666</v>
      </c>
      <c r="AW58" s="5">
        <f t="shared" si="53"/>
        <v>2</v>
      </c>
      <c r="AX58" s="5">
        <f t="shared" si="54"/>
        <v>2.0091157959595245</v>
      </c>
      <c r="AY58" s="5">
        <f t="shared" si="55"/>
        <v>4.3479844996803365</v>
      </c>
    </row>
    <row r="59">
      <c r="B59" s="4">
        <v>9</v>
      </c>
      <c r="C59" s="4">
        <v>0.20000000000000001</v>
      </c>
      <c r="D59" s="4">
        <v>2</v>
      </c>
      <c r="E59" s="4">
        <v>0.5</v>
      </c>
      <c r="F59" s="4">
        <v>0.5</v>
      </c>
      <c r="G59" s="4">
        <v>1</v>
      </c>
      <c r="H59" s="4">
        <v>1</v>
      </c>
      <c r="I59" s="4">
        <v>4</v>
      </c>
      <c r="L59" s="5">
        <f t="shared" si="39"/>
        <v>0.42942345924453273</v>
      </c>
      <c r="M59" s="5">
        <f t="shared" si="40"/>
        <v>0.0095465393794749408</v>
      </c>
      <c r="N59" s="5">
        <f t="shared" si="41"/>
        <v>0.098591549295774655</v>
      </c>
      <c r="O59" s="5">
        <f t="shared" si="42"/>
        <v>0.041666666666666657</v>
      </c>
      <c r="P59" s="5">
        <f t="shared" si="43"/>
        <v>0.028564951258218091</v>
      </c>
      <c r="Q59" s="5">
        <f t="shared" si="44"/>
        <v>0.046927374301675977</v>
      </c>
      <c r="R59" s="5">
        <f t="shared" si="45"/>
        <v>0.091139240506329114</v>
      </c>
      <c r="S59" s="6">
        <f t="shared" si="46"/>
        <v>0.24489795918367349</v>
      </c>
      <c r="T59" s="5">
        <f t="shared" si="47"/>
        <v>0.1238447174795432</v>
      </c>
      <c r="W59" s="5">
        <f>1/AC53</f>
        <v>7.0824979195705753</v>
      </c>
      <c r="X59" s="5">
        <f>1/AC54</f>
        <v>0.22603053583987137</v>
      </c>
      <c r="Y59" s="5">
        <f>1/AC55</f>
        <v>2.2533212857451264</v>
      </c>
      <c r="Z59" s="5">
        <f>1/AC56</f>
        <v>0.59718644597287085</v>
      </c>
      <c r="AA59" s="5">
        <f>1/AC57</f>
        <v>0.33344258696393964</v>
      </c>
      <c r="AB59" s="5">
        <f>1/AC58</f>
        <v>1.1001433068742066</v>
      </c>
      <c r="AC59" s="5">
        <v>1</v>
      </c>
      <c r="AD59" s="5">
        <f>(I59*T59)/T60</f>
        <v>9.0307242837991879</v>
      </c>
      <c r="AG59" s="5">
        <f/>
        <v>0.14119312301338899</v>
      </c>
      <c r="AH59" s="5">
        <f/>
        <v>4.4241809907862981</v>
      </c>
      <c r="AI59" s="5">
        <f/>
        <v>0.44378935499618333</v>
      </c>
      <c r="AJ59" s="5">
        <f/>
        <v>1.674518915731434</v>
      </c>
      <c r="AK59" s="5">
        <f/>
        <v>2.9990170395005529</v>
      </c>
      <c r="AL59" s="5">
        <f/>
        <v>0.90897248908531758</v>
      </c>
      <c r="AM59" s="5">
        <f/>
        <v>1</v>
      </c>
      <c r="AN59" s="5">
        <f/>
        <v>0.1107330894592769</v>
      </c>
      <c r="AR59" s="5">
        <f t="shared" si="48"/>
        <v>7.2236910425839644</v>
      </c>
      <c r="AS59" s="5">
        <f t="shared" si="49"/>
        <v>4.6502115266261699</v>
      </c>
      <c r="AT59" s="5">
        <f t="shared" si="50"/>
        <v>2.6971106407413097</v>
      </c>
      <c r="AU59" s="5">
        <f t="shared" si="51"/>
        <v>2.2717053617043046</v>
      </c>
      <c r="AV59" s="5">
        <f t="shared" si="52"/>
        <v>3.3324596264644923</v>
      </c>
      <c r="AW59" s="5">
        <f t="shared" si="53"/>
        <v>2.0091157959595241</v>
      </c>
      <c r="AX59" s="5">
        <f t="shared" si="54"/>
        <v>2</v>
      </c>
      <c r="AY59" s="5">
        <f t="shared" si="55"/>
        <v>9.141457373258465</v>
      </c>
    </row>
    <row r="60">
      <c r="B60" s="10">
        <v>1</v>
      </c>
      <c r="C60" s="10">
        <v>0.5</v>
      </c>
      <c r="D60" s="10">
        <v>3</v>
      </c>
      <c r="E60" s="10">
        <v>1</v>
      </c>
      <c r="F60" s="10">
        <v>0.5</v>
      </c>
      <c r="G60" s="10">
        <v>0.5</v>
      </c>
      <c r="H60" s="10">
        <v>0.25</v>
      </c>
      <c r="I60" s="10">
        <v>1</v>
      </c>
      <c r="L60" s="5">
        <f t="shared" si="39"/>
        <v>0.04771371769383697</v>
      </c>
      <c r="M60" s="5">
        <f t="shared" si="40"/>
        <v>0.02386634844868735</v>
      </c>
      <c r="N60" s="5">
        <f t="shared" si="41"/>
        <v>0.14788732394366197</v>
      </c>
      <c r="O60" s="5">
        <f t="shared" si="42"/>
        <v>0.083333333333333315</v>
      </c>
      <c r="P60" s="5">
        <f t="shared" si="43"/>
        <v>0.028564951258218091</v>
      </c>
      <c r="Q60" s="5">
        <f t="shared" si="44"/>
        <v>0.023463687150837988</v>
      </c>
      <c r="R60" s="5">
        <f t="shared" si="45"/>
        <v>0.022784810126582278</v>
      </c>
      <c r="S60" s="6">
        <f t="shared" si="46"/>
        <v>0.061224489795918373</v>
      </c>
      <c r="T60" s="5">
        <f t="shared" si="47"/>
        <v>0.054854832718884541</v>
      </c>
      <c r="W60" s="5">
        <f>1/AD53</f>
        <v>0.3485630558768672</v>
      </c>
      <c r="X60" s="5">
        <f>1/AD54</f>
        <v>0.25029059545684779</v>
      </c>
      <c r="Y60" s="5">
        <f>1/AD55</f>
        <v>1.4971033650894481</v>
      </c>
      <c r="Z60" s="5">
        <f>1/AD56</f>
        <v>0.52902640116625244</v>
      </c>
      <c r="AA60" s="5">
        <f>1/AD57</f>
        <v>0.14769251124724264</v>
      </c>
      <c r="AB60" s="5">
        <f>1/AD58</f>
        <v>0.24364453443625259</v>
      </c>
      <c r="AC60" s="5">
        <f>1/AD59</f>
        <v>0.11073308945927693</v>
      </c>
      <c r="AD60" s="5">
        <v>1</v>
      </c>
      <c r="AG60" s="5">
        <f/>
        <v>2.868921370580531</v>
      </c>
      <c r="AH60" s="5">
        <f/>
        <v>3.995355870941657</v>
      </c>
      <c r="AI60" s="5">
        <f/>
        <v>0.66795655084260164</v>
      </c>
      <c r="AJ60" s="5">
        <f/>
        <v>1.890264829497118</v>
      </c>
      <c r="AK60" s="5">
        <f/>
        <v>6.7708240015362966</v>
      </c>
      <c r="AL60" s="5">
        <f/>
        <v>4.1043399652440842</v>
      </c>
      <c r="AM60" s="5">
        <f/>
        <v>9.0307242837991879</v>
      </c>
      <c r="AN60" s="5">
        <f/>
        <v>1</v>
      </c>
      <c r="AR60" s="5">
        <f t="shared" si="48"/>
        <v>3.2174844264573981</v>
      </c>
      <c r="AS60" s="5">
        <f t="shared" si="49"/>
        <v>4.2456464663985045</v>
      </c>
      <c r="AT60" s="5">
        <f t="shared" si="50"/>
        <v>2.1650599159320496</v>
      </c>
      <c r="AU60" s="5">
        <f t="shared" si="51"/>
        <v>2.4192912306633705</v>
      </c>
      <c r="AV60" s="5">
        <f t="shared" si="52"/>
        <v>6.9185165127835395</v>
      </c>
      <c r="AW60" s="5">
        <f t="shared" si="53"/>
        <v>4.3479844996803365</v>
      </c>
      <c r="AX60" s="5">
        <f t="shared" si="54"/>
        <v>9.141457373258465</v>
      </c>
      <c r="AY60" s="5">
        <f t="shared" si="55"/>
        <v>2</v>
      </c>
    </row>
    <row r="61">
      <c r="A61" s="2" t="s">
        <v>6</v>
      </c>
      <c r="B61" s="11">
        <f>SUM(B53:B60)</f>
        <v>21.708333333333336</v>
      </c>
      <c r="C61" s="11">
        <f>SUM(C53:C60)</f>
        <v>20.949999999999999</v>
      </c>
      <c r="D61" s="11">
        <f>SUM(D53:D60)</f>
        <v>12.285714285714285</v>
      </c>
      <c r="E61" s="11">
        <f>SUM(E53:E60)</f>
        <v>12.000000000000002</v>
      </c>
      <c r="F61" s="11">
        <f>SUM(F53:F60)</f>
        <v>18.392857142857142</v>
      </c>
      <c r="G61" s="11">
        <f>SUM(G53:G60)</f>
        <v>13.30952380952381</v>
      </c>
      <c r="H61" s="11">
        <f>SUM(H53:H60)</f>
        <v>11.861111111111111</v>
      </c>
      <c r="I61" s="11">
        <f>SUM(I53:I60)</f>
        <v>13.333333333333334</v>
      </c>
    </row>
    <row r="63">
      <c r="B63" s="2" t="s">
        <v>7</v>
      </c>
      <c r="C63" s="2">
        <f>B61*T53+C61*T54+D61*T55+E61*T56+F61*T57+G61*T58+H61*T59+I61*T60</f>
        <v>14.228776858595594</v>
      </c>
    </row>
    <row r="64">
      <c r="B64" s="2" t="s">
        <v>8</v>
      </c>
      <c r="C64" s="2">
        <f>(C63-8)/7</f>
        <v>0.88982526551365637</v>
      </c>
    </row>
    <row r="65">
      <c r="B65" s="2" t="s">
        <v>9</v>
      </c>
      <c r="C65" s="2">
        <f>C64/1.41</f>
        <v>0.63108174859124566</v>
      </c>
    </row>
    <row r="68">
      <c r="A68" s="2" t="s">
        <v>21</v>
      </c>
    </row>
    <row r="69">
      <c r="T69" s="12" t="s">
        <v>3</v>
      </c>
    </row>
    <row r="70">
      <c r="B70" s="4">
        <v>1</v>
      </c>
      <c r="C70" s="4">
        <v>3</v>
      </c>
      <c r="D70" s="4">
        <v>0.14285714285714279</v>
      </c>
      <c r="E70" s="4">
        <v>4</v>
      </c>
      <c r="F70" s="4">
        <v>1</v>
      </c>
      <c r="G70" s="4">
        <v>0.33333333333333331</v>
      </c>
      <c r="H70" s="4">
        <v>0.1111111111111111</v>
      </c>
      <c r="I70" s="4">
        <v>1</v>
      </c>
      <c r="L70" s="5">
        <f t="shared" si="39"/>
        <v>0.04771371769383697</v>
      </c>
      <c r="M70" s="5">
        <f t="shared" si="40"/>
        <v>0.14319809069212411</v>
      </c>
      <c r="N70" s="5">
        <f t="shared" si="41"/>
        <v>0.0070422535211267581</v>
      </c>
      <c r="O70" s="5">
        <f t="shared" si="42"/>
        <v>0.33333333333333326</v>
      </c>
      <c r="P70" s="5">
        <f t="shared" si="43"/>
        <v>0.057129902516436182</v>
      </c>
      <c r="Q70" s="5">
        <f t="shared" si="44"/>
        <v>0.015642458100558657</v>
      </c>
      <c r="R70" s="5">
        <f t="shared" si="45"/>
        <v>0.010126582278481013</v>
      </c>
      <c r="S70" s="6">
        <f t="shared" si="46"/>
        <v>0.061224489795918373</v>
      </c>
      <c r="T70" s="5">
        <f t="shared" si="47"/>
        <v>0.084426353491476924</v>
      </c>
      <c r="W70" s="5">
        <v>1</v>
      </c>
      <c r="X70" s="5">
        <f>(C70*$T$2)/T71</f>
        <v>4.3083842289688619</v>
      </c>
      <c r="Y70" s="5">
        <f>(D70*$T$2)/T72</f>
        <v>0.19336102650151915</v>
      </c>
      <c r="Z70" s="5">
        <f>(E70*$T$2)/T73</f>
        <v>6.0709405916286832</v>
      </c>
      <c r="AA70" s="5">
        <f>(F70*$T$2)/T74</f>
        <v>1.1111712012999437</v>
      </c>
      <c r="AB70" s="5">
        <f>(G70*$T$2)/T75</f>
        <v>0.42753799809751786</v>
      </c>
      <c r="AC70" s="5">
        <f>(H70*$T$2)/T76</f>
        <v>0.14119312301338902</v>
      </c>
      <c r="AD70" s="5">
        <f>(I70*$T$2)/T77</f>
        <v>2.868921370580531</v>
      </c>
      <c r="AG70" s="5">
        <f t="array" ref="AG70:AN77">TRANSPOSE(W70:AD77)</f>
        <v>1</v>
      </c>
      <c r="AH70" s="5">
        <f/>
        <v>0.23210557528183429</v>
      </c>
      <c r="AI70" s="5">
        <f/>
        <v>5.171672999947293</v>
      </c>
      <c r="AJ70" s="5">
        <f/>
        <v>0.1647191213465202</v>
      </c>
      <c r="AK70" s="5">
        <f/>
        <v>0.89995132957919888</v>
      </c>
      <c r="AL70" s="5">
        <f/>
        <v>2.3389733882131059</v>
      </c>
      <c r="AM70" s="5">
        <f/>
        <v>7.0824979195705753</v>
      </c>
      <c r="AN70" s="5">
        <f/>
        <v>0.3485630558768672</v>
      </c>
      <c r="AR70" s="5">
        <f t="shared" si="48"/>
        <v>2</v>
      </c>
      <c r="AS70" s="5">
        <f t="shared" si="49"/>
        <v>4.5404898042506963</v>
      </c>
      <c r="AT70" s="5">
        <f t="shared" si="50"/>
        <v>5.3650340264488126</v>
      </c>
      <c r="AU70" s="5">
        <f t="shared" si="51"/>
        <v>6.2356597129752034</v>
      </c>
      <c r="AV70" s="5">
        <f t="shared" si="52"/>
        <v>2.0111225308791427</v>
      </c>
      <c r="AW70" s="5">
        <f t="shared" si="53"/>
        <v>2.7665113863106239</v>
      </c>
      <c r="AX70" s="5">
        <f t="shared" si="54"/>
        <v>7.2236910425839644</v>
      </c>
      <c r="AY70" s="5">
        <f t="shared" si="55"/>
        <v>3.2174844264573981</v>
      </c>
    </row>
    <row r="71">
      <c r="B71" s="4">
        <v>0.33333333333333331</v>
      </c>
      <c r="C71" s="4">
        <v>1</v>
      </c>
      <c r="D71" s="4">
        <v>4</v>
      </c>
      <c r="E71" s="4">
        <v>0.16666666666666671</v>
      </c>
      <c r="F71" s="4">
        <v>0.14285714285714279</v>
      </c>
      <c r="G71" s="4">
        <v>0.33333333333333331</v>
      </c>
      <c r="H71" s="4">
        <v>5</v>
      </c>
      <c r="I71" s="4">
        <v>2</v>
      </c>
      <c r="L71" s="5">
        <f t="shared" si="39"/>
        <v>0.015904572564612324</v>
      </c>
      <c r="M71" s="5">
        <f t="shared" si="40"/>
        <v>0.0477326968973747</v>
      </c>
      <c r="N71" s="5">
        <f t="shared" si="41"/>
        <v>0.19718309859154931</v>
      </c>
      <c r="O71" s="5">
        <f t="shared" si="42"/>
        <v>0.01388888888888889</v>
      </c>
      <c r="P71" s="5">
        <f t="shared" si="43"/>
        <v>0.0081614146452051659</v>
      </c>
      <c r="Q71" s="5">
        <f t="shared" si="44"/>
        <v>0.015642458100558657</v>
      </c>
      <c r="R71" s="5">
        <f t="shared" si="45"/>
        <v>0.45569620253164561</v>
      </c>
      <c r="S71" s="6">
        <f t="shared" si="46"/>
        <v>0.12244897959183675</v>
      </c>
      <c r="T71" s="5">
        <f t="shared" si="47"/>
        <v>0.10958228897645893</v>
      </c>
      <c r="W71" s="5">
        <f>1/X70</f>
        <v>0.23210557528183434</v>
      </c>
      <c r="X71" s="5">
        <v>1</v>
      </c>
      <c r="Y71" s="5">
        <f>(D71*$T$3)/T72</f>
        <v>3.7699344726305761</v>
      </c>
      <c r="Z71" s="5">
        <f>(E71*$T$3)/T73</f>
        <v>0.17613739481522697</v>
      </c>
      <c r="AA71" s="5">
        <f>(F71*$T$3)/T74</f>
        <v>0.11053244182042729</v>
      </c>
      <c r="AB71" s="5">
        <f>(G71*$T$3)/T75</f>
        <v>0.29770185900980456</v>
      </c>
      <c r="AC71" s="5">
        <f>(H71*$T$3)/T76</f>
        <v>4.4241809907862981</v>
      </c>
      <c r="AD71" s="5">
        <f>(I71*$T$3)/T77</f>
        <v>3.995355870941657</v>
      </c>
      <c r="AG71" s="5">
        <f/>
        <v>4.3083842289688619</v>
      </c>
      <c r="AH71" s="5">
        <f/>
        <v>1</v>
      </c>
      <c r="AI71" s="5">
        <f/>
        <v>0.26525659988520228</v>
      </c>
      <c r="AJ71" s="5">
        <f/>
        <v>5.677386116951646</v>
      </c>
      <c r="AK71" s="5">
        <f/>
        <v>9.0471176021300153</v>
      </c>
      <c r="AL71" s="5">
        <f/>
        <v>3.3590653525850702</v>
      </c>
      <c r="AM71" s="5">
        <f/>
        <v>0.2260305358398714</v>
      </c>
      <c r="AN71" s="5">
        <f/>
        <v>0.25029059545684779</v>
      </c>
      <c r="AR71" s="5">
        <f t="shared" si="48"/>
        <v>4.5404898042506963</v>
      </c>
      <c r="AS71" s="5">
        <f t="shared" si="49"/>
        <v>2</v>
      </c>
      <c r="AT71" s="5">
        <f t="shared" si="50"/>
        <v>4.0351910725157785</v>
      </c>
      <c r="AU71" s="5">
        <f t="shared" si="51"/>
        <v>5.8535235117668734</v>
      </c>
      <c r="AV71" s="13">
        <f t="shared" si="52"/>
        <v>9.1576500439504418</v>
      </c>
      <c r="AW71" s="5">
        <f t="shared" si="53"/>
        <v>3.6567672115948748</v>
      </c>
      <c r="AX71" s="5">
        <f t="shared" si="54"/>
        <v>4.6502115266261699</v>
      </c>
      <c r="AY71" s="5">
        <f t="shared" si="55"/>
        <v>4.2456464663985045</v>
      </c>
    </row>
    <row r="72">
      <c r="B72" s="4">
        <v>7</v>
      </c>
      <c r="C72" s="4">
        <v>0.25</v>
      </c>
      <c r="D72" s="4">
        <v>1</v>
      </c>
      <c r="E72" s="4">
        <v>1</v>
      </c>
      <c r="F72" s="4">
        <v>1</v>
      </c>
      <c r="G72" s="4">
        <v>7</v>
      </c>
      <c r="H72" s="4">
        <v>0.5</v>
      </c>
      <c r="I72" s="4">
        <v>0.33333333333333331</v>
      </c>
      <c r="L72" s="5">
        <f t="shared" si="39"/>
        <v>0.33399602385685884</v>
      </c>
      <c r="M72" s="5">
        <f t="shared" si="40"/>
        <v>0.011933174224343675</v>
      </c>
      <c r="N72" s="5">
        <f t="shared" si="41"/>
        <v>0.049295774647887328</v>
      </c>
      <c r="O72" s="5">
        <f t="shared" si="42"/>
        <v>0.083333333333333315</v>
      </c>
      <c r="P72" s="5">
        <f t="shared" si="43"/>
        <v>0.057129902516436182</v>
      </c>
      <c r="Q72" s="5">
        <f t="shared" si="44"/>
        <v>0.32849162011173183</v>
      </c>
      <c r="R72" s="5">
        <f t="shared" si="45"/>
        <v>0.045569620253164557</v>
      </c>
      <c r="S72" s="6">
        <f t="shared" si="46"/>
        <v>0.020408163265306124</v>
      </c>
      <c r="T72" s="5">
        <f t="shared" si="47"/>
        <v>0.11626970152613274</v>
      </c>
      <c r="W72" s="5">
        <f>1/Y70</f>
        <v>5.1716729999472948</v>
      </c>
      <c r="X72" s="5">
        <f>1/Y71</f>
        <v>0.26525659988520234</v>
      </c>
      <c r="Y72" s="5">
        <v>1</v>
      </c>
      <c r="Z72" s="5">
        <f>(E72*$T$4)/T73</f>
        <v>1.0600999506830535</v>
      </c>
      <c r="AA72" s="5">
        <f>(F72*$T$4)/T74</f>
        <v>0.77612522667264938</v>
      </c>
      <c r="AB72" s="5">
        <f>(G72*$T$4)/T75</f>
        <v>6.2711160361469442</v>
      </c>
      <c r="AC72" s="5">
        <f>(H72*$T$4)/T76</f>
        <v>0.44378935499618327</v>
      </c>
      <c r="AD72" s="5">
        <f>(I72*$T$4)/T77</f>
        <v>0.66795655084260164</v>
      </c>
      <c r="AG72" s="5">
        <f/>
        <v>0.19336102650151921</v>
      </c>
      <c r="AH72" s="5">
        <f/>
        <v>3.7699344726305761</v>
      </c>
      <c r="AI72" s="5">
        <f/>
        <v>1</v>
      </c>
      <c r="AJ72" s="5">
        <f/>
        <v>0.94330727905012224</v>
      </c>
      <c r="AK72" s="5">
        <f/>
        <v>1.288451870437366</v>
      </c>
      <c r="AL72" s="5">
        <f/>
        <v>0.15946124967804179</v>
      </c>
      <c r="AM72" s="5">
        <f/>
        <v>2.2533212857451259</v>
      </c>
      <c r="AN72" s="5">
        <f/>
        <v>1.4971033650894481</v>
      </c>
      <c r="AR72" s="5">
        <f t="shared" si="48"/>
        <v>5.3650340264488143</v>
      </c>
      <c r="AS72" s="5">
        <f t="shared" si="49"/>
        <v>4.0351910725157785</v>
      </c>
      <c r="AT72" s="5">
        <f t="shared" si="50"/>
        <v>2</v>
      </c>
      <c r="AU72" s="5">
        <f t="shared" si="51"/>
        <v>2.0034072297331758</v>
      </c>
      <c r="AV72" s="5">
        <f t="shared" si="52"/>
        <v>2.0645770971100155</v>
      </c>
      <c r="AW72" s="5">
        <f t="shared" si="53"/>
        <v>6.4305772858249863</v>
      </c>
      <c r="AX72" s="5">
        <f t="shared" si="54"/>
        <v>2.6971106407413092</v>
      </c>
      <c r="AY72" s="5">
        <f t="shared" si="55"/>
        <v>2.1650599159320496</v>
      </c>
    </row>
    <row r="73" ht="18.75" customHeight="1">
      <c r="B73" s="4">
        <v>0.25</v>
      </c>
      <c r="C73" s="4">
        <v>6</v>
      </c>
      <c r="D73" s="4">
        <v>1</v>
      </c>
      <c r="E73" s="4">
        <v>1</v>
      </c>
      <c r="F73" s="4">
        <v>0.25</v>
      </c>
      <c r="G73" s="4">
        <v>3</v>
      </c>
      <c r="H73" s="4">
        <v>2</v>
      </c>
      <c r="I73" s="4">
        <v>1</v>
      </c>
      <c r="L73" s="5">
        <f t="shared" si="39"/>
        <v>0.011928429423459242</v>
      </c>
      <c r="M73" s="5">
        <f t="shared" si="40"/>
        <v>0.28639618138424822</v>
      </c>
      <c r="N73" s="5">
        <f t="shared" si="41"/>
        <v>0.049295774647887328</v>
      </c>
      <c r="O73" s="5">
        <f t="shared" si="42"/>
        <v>0.083333333333333315</v>
      </c>
      <c r="P73" s="5">
        <f t="shared" si="43"/>
        <v>0.014282475629109045</v>
      </c>
      <c r="Q73" s="5">
        <f t="shared" si="44"/>
        <v>0.14078212290502792</v>
      </c>
      <c r="R73" s="5">
        <f t="shared" si="45"/>
        <v>0.18227848101265823</v>
      </c>
      <c r="S73" s="6">
        <f t="shared" si="46"/>
        <v>0.061224489795918373</v>
      </c>
      <c r="T73" s="5">
        <f t="shared" si="47"/>
        <v>0.1036901610164552</v>
      </c>
      <c r="W73" s="5">
        <f>1/Z70</f>
        <v>0.16471912134652017</v>
      </c>
      <c r="X73" s="5">
        <f>1/Z71</f>
        <v>5.6773861169516433</v>
      </c>
      <c r="Y73" s="5">
        <f>1/Z72</f>
        <v>0.94330727905012224</v>
      </c>
      <c r="Z73" s="5">
        <v>1</v>
      </c>
      <c r="AA73" s="5">
        <f>(F73*$T$5)/T74</f>
        <v>0.18303114394368403</v>
      </c>
      <c r="AB73" s="5">
        <f>(G73*$T$5)/T75</f>
        <v>2.5352526019994408</v>
      </c>
      <c r="AC73" s="5">
        <f>(H73*$T$5)/T76</f>
        <v>1.6745189157314335</v>
      </c>
      <c r="AD73" s="5">
        <f>(I73*$T$5)/T77</f>
        <v>1.8902648294971176</v>
      </c>
      <c r="AF73" s="2" t="s">
        <v>4</v>
      </c>
      <c r="AG73" s="5">
        <f/>
        <v>6.0709405916286832</v>
      </c>
      <c r="AH73" s="5">
        <f/>
        <v>0.17613739481522689</v>
      </c>
      <c r="AI73" s="5">
        <f/>
        <v>1.060099950683054</v>
      </c>
      <c r="AJ73" s="5">
        <f/>
        <v>1</v>
      </c>
      <c r="AK73" s="5">
        <f/>
        <v>5.4635510572325616</v>
      </c>
      <c r="AL73" s="5">
        <f/>
        <v>0.39443801347895058</v>
      </c>
      <c r="AM73" s="5">
        <f/>
        <v>0.59718644597287085</v>
      </c>
      <c r="AN73" s="5">
        <f/>
        <v>0.52902640116625244</v>
      </c>
      <c r="AP73" s="8" t="s">
        <v>5</v>
      </c>
      <c r="AR73" s="5">
        <f t="shared" si="48"/>
        <v>6.2356597129752034</v>
      </c>
      <c r="AS73" s="5">
        <f t="shared" si="49"/>
        <v>5.8535235117668698</v>
      </c>
      <c r="AT73" s="5">
        <f t="shared" si="50"/>
        <v>2.0034072297331762</v>
      </c>
      <c r="AU73" s="5">
        <f t="shared" si="51"/>
        <v>2</v>
      </c>
      <c r="AV73" s="5">
        <f t="shared" si="52"/>
        <v>5.6465822011762459</v>
      </c>
      <c r="AW73" s="5">
        <f t="shared" si="53"/>
        <v>2.9296906154783913</v>
      </c>
      <c r="AX73" s="5">
        <f t="shared" si="54"/>
        <v>2.2717053617043046</v>
      </c>
      <c r="AY73" s="5">
        <f t="shared" si="55"/>
        <v>2.41929123066337</v>
      </c>
    </row>
    <row r="74">
      <c r="B74" s="4">
        <v>1</v>
      </c>
      <c r="C74" s="4">
        <v>7</v>
      </c>
      <c r="D74" s="4">
        <v>1</v>
      </c>
      <c r="E74" s="4">
        <v>4</v>
      </c>
      <c r="F74" s="4">
        <v>1</v>
      </c>
      <c r="G74" s="4">
        <v>0.14285714285714279</v>
      </c>
      <c r="H74" s="4">
        <v>2</v>
      </c>
      <c r="I74" s="4">
        <v>2</v>
      </c>
      <c r="L74" s="5">
        <f t="shared" si="39"/>
        <v>0.04771371769383697</v>
      </c>
      <c r="M74" s="5">
        <f t="shared" si="40"/>
        <v>0.33412887828162291</v>
      </c>
      <c r="N74" s="5">
        <f t="shared" si="41"/>
        <v>0.049295774647887328</v>
      </c>
      <c r="O74" s="5">
        <f t="shared" si="42"/>
        <v>0.33333333333333326</v>
      </c>
      <c r="P74" s="5">
        <f t="shared" si="43"/>
        <v>0.057129902516436182</v>
      </c>
      <c r="Q74" s="5">
        <f t="shared" si="44"/>
        <v>0.0067039106145251361</v>
      </c>
      <c r="R74" s="5">
        <f t="shared" si="45"/>
        <v>0.18227848101265823</v>
      </c>
      <c r="S74" s="6">
        <f t="shared" si="46"/>
        <v>0.12244897959183675</v>
      </c>
      <c r="T74" s="5">
        <f t="shared" si="47"/>
        <v>0.14162912221151708</v>
      </c>
      <c r="W74" s="5">
        <f>1/AA70</f>
        <v>0.89995132957919888</v>
      </c>
      <c r="X74" s="5">
        <f>1/AA71</f>
        <v>9.0471176021300188</v>
      </c>
      <c r="Y74" s="5">
        <f>1/AA72</f>
        <v>1.2884518704373664</v>
      </c>
      <c r="Z74" s="5">
        <f>1/AA73</f>
        <v>5.4635510572325616</v>
      </c>
      <c r="AA74" s="5">
        <v>1</v>
      </c>
      <c r="AB74" s="5">
        <f>(G74*$T$6)/T75</f>
        <v>0.2162174882248781</v>
      </c>
      <c r="AC74" s="5">
        <f>(H74*$T$6)/T76</f>
        <v>2.9990170395005533</v>
      </c>
      <c r="AD74" s="5">
        <f>(I74*$T$6)/T77</f>
        <v>6.7708240015362975</v>
      </c>
      <c r="AG74" s="5">
        <f/>
        <v>1.111171201299944</v>
      </c>
      <c r="AH74" s="5">
        <f/>
        <v>0.1105324418204273</v>
      </c>
      <c r="AI74" s="5">
        <f/>
        <v>0.77612522667264938</v>
      </c>
      <c r="AJ74" s="5">
        <f/>
        <v>0.183031143943684</v>
      </c>
      <c r="AK74" s="5">
        <f/>
        <v>1</v>
      </c>
      <c r="AL74" s="5">
        <f/>
        <v>4.6249727910997862</v>
      </c>
      <c r="AM74" s="5">
        <f/>
        <v>0.33344258696393958</v>
      </c>
      <c r="AN74" s="5">
        <f/>
        <v>0.14769251124724261</v>
      </c>
      <c r="AR74" s="5">
        <f t="shared" si="48"/>
        <v>2.0111225308791427</v>
      </c>
      <c r="AS74" s="13">
        <f t="shared" si="49"/>
        <v>9.1576500439504454</v>
      </c>
      <c r="AT74" s="5">
        <f t="shared" si="50"/>
        <v>2.0645770971100159</v>
      </c>
      <c r="AU74" s="5">
        <f t="shared" si="51"/>
        <v>5.6465822011762459</v>
      </c>
      <c r="AV74" s="5">
        <f t="shared" si="52"/>
        <v>2</v>
      </c>
      <c r="AW74" s="5">
        <f t="shared" si="53"/>
        <v>4.8411902793246639</v>
      </c>
      <c r="AX74" s="5">
        <f t="shared" si="54"/>
        <v>3.3324596264644928</v>
      </c>
      <c r="AY74" s="5">
        <f t="shared" si="55"/>
        <v>6.9185165127835404</v>
      </c>
    </row>
    <row r="75">
      <c r="B75" s="4">
        <v>3</v>
      </c>
      <c r="C75" s="4">
        <v>3</v>
      </c>
      <c r="D75" s="4">
        <v>0.14285714285714279</v>
      </c>
      <c r="E75" s="4">
        <v>0.33333333333333331</v>
      </c>
      <c r="F75" s="4">
        <v>7</v>
      </c>
      <c r="G75" s="4">
        <v>1</v>
      </c>
      <c r="H75" s="4">
        <v>1</v>
      </c>
      <c r="I75" s="4">
        <v>2</v>
      </c>
      <c r="L75" s="5">
        <f t="shared" si="39"/>
        <v>0.14314115308151093</v>
      </c>
      <c r="M75" s="5">
        <f t="shared" si="40"/>
        <v>0.14319809069212411</v>
      </c>
      <c r="N75" s="5">
        <f t="shared" si="41"/>
        <v>0.0070422535211267581</v>
      </c>
      <c r="O75" s="5">
        <f t="shared" si="42"/>
        <v>0.027777777777777773</v>
      </c>
      <c r="P75" s="5">
        <f t="shared" si="43"/>
        <v>0.39990931761505327</v>
      </c>
      <c r="Q75" s="5">
        <f t="shared" si="44"/>
        <v>0.046927374301675977</v>
      </c>
      <c r="R75" s="5">
        <f t="shared" si="45"/>
        <v>0.091139240506329114</v>
      </c>
      <c r="S75" s="6">
        <f t="shared" si="46"/>
        <v>0.12244897959183675</v>
      </c>
      <c r="T75" s="5">
        <f t="shared" si="47"/>
        <v>0.12269802338592933</v>
      </c>
      <c r="W75" s="5">
        <f>1/AB70</f>
        <v>2.3389733882131063</v>
      </c>
      <c r="X75" s="5">
        <f>1/AB71</f>
        <v>3.3590653525850702</v>
      </c>
      <c r="Y75" s="5">
        <f>1/AB72</f>
        <v>0.15946124967804184</v>
      </c>
      <c r="Z75" s="5">
        <f>1/AB73</f>
        <v>0.39443801347895058</v>
      </c>
      <c r="AA75" s="5">
        <f>1/AB74</f>
        <v>4.624972791099788</v>
      </c>
      <c r="AB75" s="5">
        <v>1</v>
      </c>
      <c r="AC75" s="5">
        <f>(H75*$T$7)/T76</f>
        <v>0.90897248908531758</v>
      </c>
      <c r="AD75" s="5">
        <f>(I75*$T$7)/T77</f>
        <v>4.1043399652440842</v>
      </c>
      <c r="AG75" s="5">
        <f/>
        <v>0.42753799809751791</v>
      </c>
      <c r="AH75" s="5">
        <f/>
        <v>0.29770185900980461</v>
      </c>
      <c r="AI75" s="5">
        <f/>
        <v>6.2711160361469442</v>
      </c>
      <c r="AJ75" s="5">
        <f/>
        <v>2.5352526019994408</v>
      </c>
      <c r="AK75" s="5">
        <f/>
        <v>0.21621748822487821</v>
      </c>
      <c r="AL75" s="5">
        <f/>
        <v>1</v>
      </c>
      <c r="AM75" s="5">
        <f/>
        <v>1.100143306874207</v>
      </c>
      <c r="AN75" s="5">
        <f/>
        <v>0.24364453443625261</v>
      </c>
      <c r="AR75" s="5">
        <f t="shared" si="48"/>
        <v>2.7665113863106243</v>
      </c>
      <c r="AS75" s="5">
        <f t="shared" si="49"/>
        <v>3.6567672115948748</v>
      </c>
      <c r="AT75" s="5">
        <f t="shared" si="50"/>
        <v>6.4305772858249863</v>
      </c>
      <c r="AU75" s="5">
        <f t="shared" si="51"/>
        <v>2.9296906154783913</v>
      </c>
      <c r="AV75" s="5">
        <f t="shared" si="52"/>
        <v>4.8411902793246666</v>
      </c>
      <c r="AW75" s="5">
        <f t="shared" si="53"/>
        <v>2</v>
      </c>
      <c r="AX75" s="5">
        <f t="shared" si="54"/>
        <v>2.0091157959595245</v>
      </c>
      <c r="AY75" s="5">
        <f t="shared" si="55"/>
        <v>4.3479844996803365</v>
      </c>
    </row>
    <row r="76">
      <c r="B76" s="4">
        <v>9</v>
      </c>
      <c r="C76" s="4">
        <v>0.20000000000000001</v>
      </c>
      <c r="D76" s="4">
        <v>2</v>
      </c>
      <c r="E76" s="4">
        <v>0.5</v>
      </c>
      <c r="F76" s="4">
        <v>0.5</v>
      </c>
      <c r="G76" s="4">
        <v>1</v>
      </c>
      <c r="H76" s="4">
        <v>1</v>
      </c>
      <c r="I76" s="4">
        <v>4</v>
      </c>
      <c r="L76" s="5">
        <f t="shared" si="39"/>
        <v>0.42942345924453273</v>
      </c>
      <c r="M76" s="5">
        <f t="shared" si="40"/>
        <v>0.0095465393794749408</v>
      </c>
      <c r="N76" s="5">
        <f t="shared" si="41"/>
        <v>0.098591549295774655</v>
      </c>
      <c r="O76" s="5">
        <f t="shared" si="42"/>
        <v>0.041666666666666657</v>
      </c>
      <c r="P76" s="5">
        <f t="shared" si="43"/>
        <v>0.028564951258218091</v>
      </c>
      <c r="Q76" s="5">
        <f t="shared" si="44"/>
        <v>0.046927374301675977</v>
      </c>
      <c r="R76" s="5">
        <f t="shared" si="45"/>
        <v>0.091139240506329114</v>
      </c>
      <c r="S76" s="6">
        <f t="shared" si="46"/>
        <v>0.24489795918367349</v>
      </c>
      <c r="T76" s="5">
        <f t="shared" si="47"/>
        <v>0.1238447174795432</v>
      </c>
      <c r="W76" s="5">
        <f>1/AC70</f>
        <v>7.0824979195705753</v>
      </c>
      <c r="X76" s="5">
        <f>1/AC71</f>
        <v>0.22603053583987137</v>
      </c>
      <c r="Y76" s="5">
        <f>1/AC72</f>
        <v>2.2533212857451264</v>
      </c>
      <c r="Z76" s="5">
        <f>1/AC73</f>
        <v>0.59718644597287085</v>
      </c>
      <c r="AA76" s="5">
        <f>1/AC74</f>
        <v>0.33344258696393964</v>
      </c>
      <c r="AB76" s="5">
        <f>1/AC75</f>
        <v>1.1001433068742066</v>
      </c>
      <c r="AC76" s="5">
        <v>1</v>
      </c>
      <c r="AD76" s="5">
        <f>(I76*T76)/T77</f>
        <v>9.0307242837991879</v>
      </c>
      <c r="AG76" s="5">
        <f/>
        <v>0.14119312301338899</v>
      </c>
      <c r="AH76" s="5">
        <f/>
        <v>4.4241809907862981</v>
      </c>
      <c r="AI76" s="5">
        <f/>
        <v>0.44378935499618333</v>
      </c>
      <c r="AJ76" s="5">
        <f/>
        <v>1.674518915731434</v>
      </c>
      <c r="AK76" s="5">
        <f/>
        <v>2.9990170395005529</v>
      </c>
      <c r="AL76" s="5">
        <f/>
        <v>0.90897248908531758</v>
      </c>
      <c r="AM76" s="5">
        <f/>
        <v>1</v>
      </c>
      <c r="AN76" s="5">
        <f/>
        <v>0.1107330894592769</v>
      </c>
      <c r="AR76" s="5">
        <f t="shared" si="48"/>
        <v>7.2236910425839644</v>
      </c>
      <c r="AS76" s="5">
        <f t="shared" si="49"/>
        <v>4.6502115266261699</v>
      </c>
      <c r="AT76" s="5">
        <f t="shared" si="50"/>
        <v>2.6971106407413097</v>
      </c>
      <c r="AU76" s="5">
        <f t="shared" si="51"/>
        <v>2.2717053617043046</v>
      </c>
      <c r="AV76" s="5">
        <f t="shared" si="52"/>
        <v>3.3324596264644923</v>
      </c>
      <c r="AW76" s="5">
        <f t="shared" si="53"/>
        <v>2.0091157959595241</v>
      </c>
      <c r="AX76" s="5">
        <f t="shared" si="54"/>
        <v>2</v>
      </c>
      <c r="AY76" s="5">
        <f t="shared" si="55"/>
        <v>9.141457373258465</v>
      </c>
    </row>
    <row r="77">
      <c r="B77" s="10">
        <v>1</v>
      </c>
      <c r="C77" s="10">
        <v>0.5</v>
      </c>
      <c r="D77" s="10">
        <v>3</v>
      </c>
      <c r="E77" s="10">
        <v>1</v>
      </c>
      <c r="F77" s="10">
        <v>0.5</v>
      </c>
      <c r="G77" s="10">
        <v>0.5</v>
      </c>
      <c r="H77" s="10">
        <v>0.25</v>
      </c>
      <c r="I77" s="10">
        <v>1</v>
      </c>
      <c r="L77" s="5">
        <f t="shared" si="39"/>
        <v>0.04771371769383697</v>
      </c>
      <c r="M77" s="5">
        <f t="shared" si="40"/>
        <v>0.02386634844868735</v>
      </c>
      <c r="N77" s="5">
        <f t="shared" si="41"/>
        <v>0.14788732394366197</v>
      </c>
      <c r="O77" s="5">
        <f t="shared" si="42"/>
        <v>0.083333333333333315</v>
      </c>
      <c r="P77" s="5">
        <f t="shared" si="43"/>
        <v>0.028564951258218091</v>
      </c>
      <c r="Q77" s="5">
        <f t="shared" si="44"/>
        <v>0.023463687150837988</v>
      </c>
      <c r="R77" s="5">
        <f t="shared" si="45"/>
        <v>0.022784810126582278</v>
      </c>
      <c r="S77" s="6">
        <f t="shared" si="46"/>
        <v>0.061224489795918373</v>
      </c>
      <c r="T77" s="5">
        <f t="shared" si="47"/>
        <v>0.054854832718884541</v>
      </c>
      <c r="W77" s="5">
        <f>1/AD70</f>
        <v>0.3485630558768672</v>
      </c>
      <c r="X77" s="5">
        <f>1/AD71</f>
        <v>0.25029059545684779</v>
      </c>
      <c r="Y77" s="5">
        <f>1/AD72</f>
        <v>1.4971033650894481</v>
      </c>
      <c r="Z77" s="5">
        <f>1/AD73</f>
        <v>0.52902640116625244</v>
      </c>
      <c r="AA77" s="5">
        <f>1/AD74</f>
        <v>0.14769251124724264</v>
      </c>
      <c r="AB77" s="5">
        <f>1/AD75</f>
        <v>0.24364453443625259</v>
      </c>
      <c r="AC77" s="5">
        <f>1/AD76</f>
        <v>0.11073308945927693</v>
      </c>
      <c r="AD77" s="5">
        <v>1</v>
      </c>
      <c r="AG77" s="5">
        <f/>
        <v>2.868921370580531</v>
      </c>
      <c r="AH77" s="5">
        <f/>
        <v>3.995355870941657</v>
      </c>
      <c r="AI77" s="5">
        <f/>
        <v>0.66795655084260164</v>
      </c>
      <c r="AJ77" s="5">
        <f/>
        <v>1.890264829497118</v>
      </c>
      <c r="AK77" s="5">
        <f/>
        <v>6.7708240015362966</v>
      </c>
      <c r="AL77" s="5">
        <f/>
        <v>4.1043399652440842</v>
      </c>
      <c r="AM77" s="5">
        <f/>
        <v>9.0307242837991879</v>
      </c>
      <c r="AN77" s="5">
        <f/>
        <v>1</v>
      </c>
      <c r="AR77" s="5">
        <f t="shared" si="48"/>
        <v>3.2174844264573981</v>
      </c>
      <c r="AS77" s="5">
        <f t="shared" si="49"/>
        <v>4.2456464663985045</v>
      </c>
      <c r="AT77" s="5">
        <f t="shared" si="50"/>
        <v>2.1650599159320496</v>
      </c>
      <c r="AU77" s="5">
        <f t="shared" si="51"/>
        <v>2.4192912306633705</v>
      </c>
      <c r="AV77" s="5">
        <f t="shared" si="52"/>
        <v>6.9185165127835395</v>
      </c>
      <c r="AW77" s="5">
        <f t="shared" si="53"/>
        <v>4.3479844996803365</v>
      </c>
      <c r="AX77" s="5">
        <f t="shared" si="54"/>
        <v>9.141457373258465</v>
      </c>
      <c r="AY77" s="5">
        <f t="shared" si="55"/>
        <v>2</v>
      </c>
    </row>
    <row r="78">
      <c r="A78" s="2" t="s">
        <v>6</v>
      </c>
      <c r="B78" s="11">
        <f>SUM(B70:B77)</f>
        <v>22.583333333333336</v>
      </c>
      <c r="C78" s="11">
        <f>SUM(C70:C77)</f>
        <v>20.949999999999999</v>
      </c>
      <c r="D78" s="11">
        <f>SUM(D70:D77)</f>
        <v>12.285714285714285</v>
      </c>
      <c r="E78" s="11">
        <f>SUM(E70:E77)</f>
        <v>12.000000000000002</v>
      </c>
      <c r="F78" s="11">
        <f>SUM(F70:F77)</f>
        <v>11.392857142857142</v>
      </c>
      <c r="G78" s="11">
        <f>SUM(G70:G77)</f>
        <v>13.30952380952381</v>
      </c>
      <c r="H78" s="11">
        <f>SUM(H70:H77)</f>
        <v>11.861111111111111</v>
      </c>
      <c r="I78" s="11">
        <f>SUM(I70:I77)</f>
        <v>13.333333333333334</v>
      </c>
    </row>
    <row r="80">
      <c r="B80" s="2" t="s">
        <v>7</v>
      </c>
      <c r="C80" s="2">
        <f>B78*T70+C78*T71+D78*T72+E78*T73+F78*T74+G78*T75+H78*T76+I78*T77</f>
        <v>12.322062046700236</v>
      </c>
    </row>
    <row r="81">
      <c r="B81" s="2" t="s">
        <v>8</v>
      </c>
      <c r="C81" s="2">
        <f>(C80-8)/7</f>
        <v>0.61743743524289074</v>
      </c>
    </row>
    <row r="82">
      <c r="B82" s="2" t="s">
        <v>9</v>
      </c>
      <c r="C82" s="2">
        <f>C81/1.41</f>
        <v>0.43789889024318496</v>
      </c>
    </row>
    <row r="85">
      <c r="A85" s="2" t="s">
        <v>22</v>
      </c>
    </row>
    <row r="86">
      <c r="T86" s="12" t="s">
        <v>3</v>
      </c>
    </row>
    <row r="87">
      <c r="B87" s="4">
        <v>1</v>
      </c>
      <c r="C87" s="4">
        <v>3</v>
      </c>
      <c r="D87" s="4">
        <v>0.14285714285714279</v>
      </c>
      <c r="E87" s="4">
        <v>4</v>
      </c>
      <c r="F87" s="4">
        <v>1</v>
      </c>
      <c r="G87" s="4">
        <v>0.33333333333333331</v>
      </c>
      <c r="H87" s="4">
        <v>0.1111111111111111</v>
      </c>
      <c r="I87" s="4">
        <v>1</v>
      </c>
      <c r="L87" s="5">
        <f t="shared" ref="L82:L94" si="56">B87/$B$10</f>
        <v>0.04771371769383697</v>
      </c>
      <c r="M87" s="5">
        <f t="shared" ref="M82:M94" si="57">C87/$C$10</f>
        <v>0.14319809069212411</v>
      </c>
      <c r="N87" s="5">
        <f t="shared" ref="N82:N94" si="58">D87/$D$10</f>
        <v>0.0070422535211267581</v>
      </c>
      <c r="O87" s="5">
        <f t="shared" ref="O82:O94" si="59">E87/$E$10</f>
        <v>0.33333333333333326</v>
      </c>
      <c r="P87" s="5">
        <f t="shared" ref="P82:P94" si="60">F87/$F$10</f>
        <v>0.057129902516436182</v>
      </c>
      <c r="Q87" s="5">
        <f t="shared" ref="Q82:Q94" si="61">G87/$G$10</f>
        <v>0.015642458100558657</v>
      </c>
      <c r="R87" s="5">
        <f t="shared" ref="R82:R94" si="62">H87/$H$10</f>
        <v>0.010126582278481013</v>
      </c>
      <c r="S87" s="6">
        <f t="shared" ref="S82:S94" si="63">I87/$I$10</f>
        <v>0.061224489795918373</v>
      </c>
      <c r="T87" s="5">
        <f t="shared" ref="T82:T94" si="64">AVERAGE(L87:S87)</f>
        <v>0.084426353491476924</v>
      </c>
      <c r="W87" s="5">
        <v>1</v>
      </c>
      <c r="X87" s="5">
        <f>(C87*$T$2)/T88</f>
        <v>4.0804575300734323</v>
      </c>
      <c r="Y87" s="5">
        <f>(D87*$T$2)/T89</f>
        <v>0.19336102650151915</v>
      </c>
      <c r="Z87" s="5">
        <f>(E87*$T$2)/T90</f>
        <v>6.0709405916286832</v>
      </c>
      <c r="AA87" s="5">
        <f>(F87*$T$2)/T91</f>
        <v>1.4870527957501829</v>
      </c>
      <c r="AB87" s="5">
        <f>(G87*$T$2)/T92</f>
        <v>0.42753799809751786</v>
      </c>
      <c r="AC87" s="5">
        <f>(H87*$T$2)/T93</f>
        <v>0.14119312301338902</v>
      </c>
      <c r="AD87" s="5">
        <f>(I87*$T$2)/T94</f>
        <v>2.868921370580531</v>
      </c>
      <c r="AG87" s="5">
        <f t="array" ref="AG87:AN94">TRANSPOSE(W87:AD94)</f>
        <v>1</v>
      </c>
      <c r="AH87" s="5">
        <f/>
        <v>0.2450705570710851</v>
      </c>
      <c r="AI87" s="5">
        <f/>
        <v>5.171672999947293</v>
      </c>
      <c r="AJ87" s="5">
        <f/>
        <v>0.1647191213465202</v>
      </c>
      <c r="AK87" s="5">
        <f/>
        <v>0.67247108028570279</v>
      </c>
      <c r="AL87" s="5">
        <f/>
        <v>2.3389733882131059</v>
      </c>
      <c r="AM87" s="5">
        <f/>
        <v>7.0824979195705753</v>
      </c>
      <c r="AN87" s="5">
        <f/>
        <v>0.3485630558768672</v>
      </c>
      <c r="AR87" s="5">
        <f t="shared" ref="AR82:AR94" si="65">W87+AG87</f>
        <v>2</v>
      </c>
      <c r="AS87" s="5">
        <f t="shared" ref="AS82:AS94" si="66">X87+AH87</f>
        <v>4.3255280871445176</v>
      </c>
      <c r="AT87" s="5">
        <f t="shared" ref="AT82:AT94" si="67">Y87+AI87</f>
        <v>5.3650340264488126</v>
      </c>
      <c r="AU87" s="5">
        <f t="shared" ref="AU82:AU94" si="68">Z87+AJ87</f>
        <v>6.2356597129752034</v>
      </c>
      <c r="AV87" s="5">
        <f t="shared" ref="AV82:AV94" si="69">AA87+AK87</f>
        <v>2.1595238760358857</v>
      </c>
      <c r="AW87" s="5">
        <f t="shared" ref="AW82:AW94" si="70">AB87+AL87</f>
        <v>2.7665113863106239</v>
      </c>
      <c r="AX87" s="5">
        <f t="shared" ref="AX82:AX94" si="71">AC87+AM87</f>
        <v>7.2236910425839644</v>
      </c>
      <c r="AY87" s="5">
        <f t="shared" ref="AY82:AY94" si="72">AD87+AN87</f>
        <v>3.2174844264573981</v>
      </c>
    </row>
    <row r="88">
      <c r="B88" s="4">
        <v>0.33333333333333331</v>
      </c>
      <c r="C88" s="4">
        <v>1</v>
      </c>
      <c r="D88" s="4">
        <v>4</v>
      </c>
      <c r="E88" s="4">
        <v>0.16666666666666671</v>
      </c>
      <c r="F88" s="4">
        <v>1</v>
      </c>
      <c r="G88" s="4">
        <v>0.33333333333333331</v>
      </c>
      <c r="H88" s="4">
        <v>5</v>
      </c>
      <c r="I88" s="4">
        <v>2</v>
      </c>
      <c r="L88" s="5">
        <f t="shared" si="56"/>
        <v>0.015904572564612324</v>
      </c>
      <c r="M88" s="5">
        <f t="shared" si="57"/>
        <v>0.0477326968973747</v>
      </c>
      <c r="N88" s="5">
        <f t="shared" si="58"/>
        <v>0.19718309859154931</v>
      </c>
      <c r="O88" s="5">
        <f t="shared" si="59"/>
        <v>0.01388888888888889</v>
      </c>
      <c r="P88" s="5">
        <f t="shared" si="60"/>
        <v>0.057129902516436182</v>
      </c>
      <c r="Q88" s="5">
        <f t="shared" si="61"/>
        <v>0.015642458100558657</v>
      </c>
      <c r="R88" s="5">
        <f t="shared" si="62"/>
        <v>0.45569620253164561</v>
      </c>
      <c r="S88" s="6">
        <f t="shared" si="63"/>
        <v>0.12244897959183675</v>
      </c>
      <c r="T88" s="5">
        <f t="shared" si="64"/>
        <v>0.11570334996036281</v>
      </c>
      <c r="W88" s="5">
        <f>1/X87</f>
        <v>0.2450705570710851</v>
      </c>
      <c r="X88" s="5">
        <v>1</v>
      </c>
      <c r="Y88" s="5">
        <f>(D88*$T$3)/T89</f>
        <v>3.7699344726305761</v>
      </c>
      <c r="Z88" s="5">
        <f>(E88*$T$3)/T90</f>
        <v>0.17613739481522697</v>
      </c>
      <c r="AA88" s="5">
        <f>(F88*$T$3)/T91</f>
        <v>1.0354597338961691</v>
      </c>
      <c r="AB88" s="5">
        <f>(G88*$T$3)/T92</f>
        <v>0.29770185900980456</v>
      </c>
      <c r="AC88" s="5">
        <f>(H88*$T$3)/T93</f>
        <v>4.4241809907862981</v>
      </c>
      <c r="AD88" s="5">
        <f>(I88*$T$3)/T94</f>
        <v>3.995355870941657</v>
      </c>
      <c r="AG88" s="5">
        <f/>
        <v>4.0804575300734323</v>
      </c>
      <c r="AH88" s="5">
        <f/>
        <v>1</v>
      </c>
      <c r="AI88" s="5">
        <f/>
        <v>0.26525659988520228</v>
      </c>
      <c r="AJ88" s="5">
        <f/>
        <v>5.677386116951646</v>
      </c>
      <c r="AK88" s="5">
        <f/>
        <v>0.96575459891352489</v>
      </c>
      <c r="AL88" s="5">
        <f/>
        <v>3.3590653525850702</v>
      </c>
      <c r="AM88" s="5">
        <f/>
        <v>0.2260305358398714</v>
      </c>
      <c r="AN88" s="5">
        <f/>
        <v>0.25029059545684779</v>
      </c>
      <c r="AR88" s="5">
        <f t="shared" si="65"/>
        <v>4.3255280871445176</v>
      </c>
      <c r="AS88" s="5">
        <f t="shared" si="66"/>
        <v>2</v>
      </c>
      <c r="AT88" s="5">
        <f t="shared" si="67"/>
        <v>4.0351910725157785</v>
      </c>
      <c r="AU88" s="5">
        <f t="shared" si="68"/>
        <v>5.8535235117668734</v>
      </c>
      <c r="AV88" s="5">
        <f t="shared" si="69"/>
        <v>2.0012143328096941</v>
      </c>
      <c r="AW88" s="5">
        <f t="shared" si="70"/>
        <v>3.6567672115948748</v>
      </c>
      <c r="AX88" s="5">
        <f t="shared" si="71"/>
        <v>4.6502115266261699</v>
      </c>
      <c r="AY88" s="5">
        <f t="shared" si="72"/>
        <v>4.2456464663985045</v>
      </c>
    </row>
    <row r="89">
      <c r="B89" s="4">
        <v>7</v>
      </c>
      <c r="C89" s="4">
        <v>0.25</v>
      </c>
      <c r="D89" s="4">
        <v>1</v>
      </c>
      <c r="E89" s="4">
        <v>1</v>
      </c>
      <c r="F89" s="4">
        <v>1</v>
      </c>
      <c r="G89" s="4">
        <v>7</v>
      </c>
      <c r="H89" s="4">
        <v>0.5</v>
      </c>
      <c r="I89" s="4">
        <v>0.33333333333333331</v>
      </c>
      <c r="L89" s="5">
        <f t="shared" si="56"/>
        <v>0.33399602385685884</v>
      </c>
      <c r="M89" s="5">
        <f t="shared" si="57"/>
        <v>0.011933174224343675</v>
      </c>
      <c r="N89" s="5">
        <f t="shared" si="58"/>
        <v>0.049295774647887328</v>
      </c>
      <c r="O89" s="5">
        <f t="shared" si="59"/>
        <v>0.083333333333333315</v>
      </c>
      <c r="P89" s="5">
        <f t="shared" si="60"/>
        <v>0.057129902516436182</v>
      </c>
      <c r="Q89" s="5">
        <f t="shared" si="61"/>
        <v>0.32849162011173183</v>
      </c>
      <c r="R89" s="5">
        <f t="shared" si="62"/>
        <v>0.045569620253164557</v>
      </c>
      <c r="S89" s="6">
        <f t="shared" si="63"/>
        <v>0.020408163265306124</v>
      </c>
      <c r="T89" s="5">
        <f t="shared" si="64"/>
        <v>0.11626970152613274</v>
      </c>
      <c r="W89" s="5">
        <f>1/Y87</f>
        <v>5.1716729999472948</v>
      </c>
      <c r="X89" s="5">
        <f>1/Y88</f>
        <v>0.26525659988520234</v>
      </c>
      <c r="Y89" s="5">
        <v>1</v>
      </c>
      <c r="Z89" s="5">
        <f>(E89*$T$4)/T90</f>
        <v>1.0600999506830535</v>
      </c>
      <c r="AA89" s="5">
        <f>(F89*$T$4)/T91</f>
        <v>1.0386690969182752</v>
      </c>
      <c r="AB89" s="5">
        <f>(G89*$T$4)/T92</f>
        <v>6.2711160361469442</v>
      </c>
      <c r="AC89" s="5">
        <f>(H89*$T$4)/T93</f>
        <v>0.44378935499618327</v>
      </c>
      <c r="AD89" s="5">
        <f>(I89*$T$4)/T94</f>
        <v>0.66795655084260164</v>
      </c>
      <c r="AG89" s="5">
        <f/>
        <v>0.19336102650151921</v>
      </c>
      <c r="AH89" s="5">
        <f/>
        <v>3.7699344726305761</v>
      </c>
      <c r="AI89" s="5">
        <f/>
        <v>1</v>
      </c>
      <c r="AJ89" s="5">
        <f/>
        <v>0.94330727905012224</v>
      </c>
      <c r="AK89" s="5">
        <f/>
        <v>0.9627705329512487</v>
      </c>
      <c r="AL89" s="5">
        <f/>
        <v>0.15946124967804179</v>
      </c>
      <c r="AM89" s="5">
        <f/>
        <v>2.2533212857451259</v>
      </c>
      <c r="AN89" s="5">
        <f/>
        <v>1.4971033650894481</v>
      </c>
      <c r="AR89" s="5">
        <f t="shared" si="65"/>
        <v>5.3650340264488143</v>
      </c>
      <c r="AS89" s="5">
        <f t="shared" si="66"/>
        <v>4.0351910725157785</v>
      </c>
      <c r="AT89" s="5">
        <f t="shared" si="67"/>
        <v>2</v>
      </c>
      <c r="AU89" s="5">
        <f t="shared" si="68"/>
        <v>2.0034072297331758</v>
      </c>
      <c r="AV89" s="5">
        <f t="shared" si="69"/>
        <v>2.0014396298695241</v>
      </c>
      <c r="AW89" s="5">
        <f t="shared" si="70"/>
        <v>6.4305772858249863</v>
      </c>
      <c r="AX89" s="5">
        <f t="shared" si="71"/>
        <v>2.6971106407413092</v>
      </c>
      <c r="AY89" s="5">
        <f t="shared" si="72"/>
        <v>2.1650599159320496</v>
      </c>
    </row>
    <row r="90" ht="18.75" customHeight="1">
      <c r="B90" s="4">
        <v>0.25</v>
      </c>
      <c r="C90" s="4">
        <v>6</v>
      </c>
      <c r="D90" s="4">
        <v>1</v>
      </c>
      <c r="E90" s="4">
        <v>1</v>
      </c>
      <c r="F90" s="4">
        <v>0.25</v>
      </c>
      <c r="G90" s="4">
        <v>3</v>
      </c>
      <c r="H90" s="4">
        <v>2</v>
      </c>
      <c r="I90" s="4">
        <v>1</v>
      </c>
      <c r="L90" s="5">
        <f t="shared" si="56"/>
        <v>0.011928429423459242</v>
      </c>
      <c r="M90" s="5">
        <f t="shared" si="57"/>
        <v>0.28639618138424822</v>
      </c>
      <c r="N90" s="5">
        <f t="shared" si="58"/>
        <v>0.049295774647887328</v>
      </c>
      <c r="O90" s="5">
        <f t="shared" si="59"/>
        <v>0.083333333333333315</v>
      </c>
      <c r="P90" s="5">
        <f t="shared" si="60"/>
        <v>0.014282475629109045</v>
      </c>
      <c r="Q90" s="5">
        <f t="shared" si="61"/>
        <v>0.14078212290502792</v>
      </c>
      <c r="R90" s="5">
        <f t="shared" si="62"/>
        <v>0.18227848101265823</v>
      </c>
      <c r="S90" s="6">
        <f t="shared" si="63"/>
        <v>0.061224489795918373</v>
      </c>
      <c r="T90" s="5">
        <f t="shared" si="64"/>
        <v>0.1036901610164552</v>
      </c>
      <c r="W90" s="5">
        <f>1/Z87</f>
        <v>0.16471912134652017</v>
      </c>
      <c r="X90" s="5">
        <f>1/Z88</f>
        <v>5.6773861169516433</v>
      </c>
      <c r="Y90" s="5">
        <f>1/Z89</f>
        <v>0.94330727905012224</v>
      </c>
      <c r="Z90" s="5">
        <v>1</v>
      </c>
      <c r="AA90" s="5">
        <f>(F90*$T$5)/T91</f>
        <v>0.24494602991185646</v>
      </c>
      <c r="AB90" s="5">
        <f>(G90*$T$5)/T92</f>
        <v>2.5352526019994408</v>
      </c>
      <c r="AC90" s="5">
        <f>(H90*$T$5)/T93</f>
        <v>1.6745189157314335</v>
      </c>
      <c r="AD90" s="5">
        <f>(I90*$T$5)/T94</f>
        <v>1.8902648294971176</v>
      </c>
      <c r="AF90" s="2" t="s">
        <v>4</v>
      </c>
      <c r="AG90" s="5">
        <f/>
        <v>6.0709405916286832</v>
      </c>
      <c r="AH90" s="5">
        <f/>
        <v>0.17613739481522689</v>
      </c>
      <c r="AI90" s="5">
        <f/>
        <v>1.060099950683054</v>
      </c>
      <c r="AJ90" s="5">
        <f/>
        <v>1</v>
      </c>
      <c r="AK90" s="5">
        <f/>
        <v>4.0825319780028639</v>
      </c>
      <c r="AL90" s="5">
        <f/>
        <v>0.39443801347895058</v>
      </c>
      <c r="AM90" s="5">
        <f/>
        <v>0.59718644597287085</v>
      </c>
      <c r="AN90" s="5">
        <f/>
        <v>0.52902640116625244</v>
      </c>
      <c r="AP90" s="8" t="s">
        <v>5</v>
      </c>
      <c r="AR90" s="5">
        <f t="shared" si="65"/>
        <v>6.2356597129752034</v>
      </c>
      <c r="AS90" s="5">
        <f t="shared" si="66"/>
        <v>5.8535235117668698</v>
      </c>
      <c r="AT90" s="5">
        <f t="shared" si="67"/>
        <v>2.0034072297331762</v>
      </c>
      <c r="AU90" s="5">
        <f t="shared" si="68"/>
        <v>2</v>
      </c>
      <c r="AV90" s="5">
        <f t="shared" si="69"/>
        <v>4.3274780079147206</v>
      </c>
      <c r="AW90" s="5">
        <f t="shared" si="70"/>
        <v>2.9296906154783913</v>
      </c>
      <c r="AX90" s="5">
        <f t="shared" si="71"/>
        <v>2.2717053617043046</v>
      </c>
      <c r="AY90" s="5">
        <f t="shared" si="72"/>
        <v>2.41929123066337</v>
      </c>
    </row>
    <row r="91">
      <c r="B91" s="4">
        <v>1</v>
      </c>
      <c r="C91" s="4">
        <v>1</v>
      </c>
      <c r="D91" s="4">
        <v>1</v>
      </c>
      <c r="E91" s="4">
        <v>4</v>
      </c>
      <c r="F91" s="4">
        <v>1</v>
      </c>
      <c r="G91" s="4">
        <v>0.14285714285714279</v>
      </c>
      <c r="H91" s="4">
        <v>2</v>
      </c>
      <c r="I91" s="4">
        <v>2</v>
      </c>
      <c r="L91" s="5">
        <f t="shared" si="56"/>
        <v>0.04771371769383697</v>
      </c>
      <c r="M91" s="5">
        <f t="shared" si="57"/>
        <v>0.0477326968973747</v>
      </c>
      <c r="N91" s="5">
        <f t="shared" si="58"/>
        <v>0.049295774647887328</v>
      </c>
      <c r="O91" s="5">
        <f t="shared" si="59"/>
        <v>0.33333333333333326</v>
      </c>
      <c r="P91" s="5">
        <f t="shared" si="60"/>
        <v>0.057129902516436182</v>
      </c>
      <c r="Q91" s="5">
        <f t="shared" si="61"/>
        <v>0.0067039106145251361</v>
      </c>
      <c r="R91" s="5">
        <f t="shared" si="62"/>
        <v>0.18227848101265823</v>
      </c>
      <c r="S91" s="6">
        <f t="shared" si="63"/>
        <v>0.12244897959183675</v>
      </c>
      <c r="T91" s="5">
        <f t="shared" si="64"/>
        <v>0.10582959953848607</v>
      </c>
      <c r="W91" s="5">
        <f>1/AA87</f>
        <v>0.67247108028570279</v>
      </c>
      <c r="X91" s="5">
        <f>1/AA88</f>
        <v>0.96575459891352489</v>
      </c>
      <c r="Y91" s="5">
        <f>1/AA89</f>
        <v>0.9627705329512487</v>
      </c>
      <c r="Z91" s="5">
        <f>1/AA90</f>
        <v>4.0825319780028639</v>
      </c>
      <c r="AA91" s="5">
        <v>1</v>
      </c>
      <c r="AB91" s="5">
        <f>(G91*$T$6)/T92</f>
        <v>0.2162174882248781</v>
      </c>
      <c r="AC91" s="5">
        <f>(H91*$T$6)/T93</f>
        <v>2.9990170395005533</v>
      </c>
      <c r="AD91" s="5">
        <f>(I91*$T$6)/T94</f>
        <v>6.7708240015362975</v>
      </c>
      <c r="AG91" s="5">
        <f/>
        <v>1.4870527957501829</v>
      </c>
      <c r="AH91" s="5">
        <f/>
        <v>1.0354597338961691</v>
      </c>
      <c r="AI91" s="5">
        <f/>
        <v>1.038669096918275</v>
      </c>
      <c r="AJ91" s="5">
        <f/>
        <v>0.24494602991185649</v>
      </c>
      <c r="AK91" s="5">
        <f/>
        <v>1</v>
      </c>
      <c r="AL91" s="5">
        <f/>
        <v>4.6249727910997862</v>
      </c>
      <c r="AM91" s="5">
        <f/>
        <v>0.33344258696393958</v>
      </c>
      <c r="AN91" s="5">
        <f/>
        <v>0.14769251124724261</v>
      </c>
      <c r="AR91" s="5">
        <f t="shared" si="65"/>
        <v>2.1595238760358857</v>
      </c>
      <c r="AS91" s="5">
        <f t="shared" si="66"/>
        <v>2.0012143328096941</v>
      </c>
      <c r="AT91" s="5">
        <f t="shared" si="67"/>
        <v>2.0014396298695236</v>
      </c>
      <c r="AU91" s="5">
        <f t="shared" si="68"/>
        <v>4.3274780079147206</v>
      </c>
      <c r="AV91" s="5">
        <f t="shared" si="69"/>
        <v>2</v>
      </c>
      <c r="AW91" s="5">
        <f t="shared" si="70"/>
        <v>4.8411902793246639</v>
      </c>
      <c r="AX91" s="5">
        <f t="shared" si="71"/>
        <v>3.3324596264644928</v>
      </c>
      <c r="AY91" s="5">
        <f t="shared" si="72"/>
        <v>6.9185165127835404</v>
      </c>
    </row>
    <row r="92">
      <c r="B92" s="4">
        <v>3</v>
      </c>
      <c r="C92" s="4">
        <v>3</v>
      </c>
      <c r="D92" s="4">
        <v>0.14285714285714279</v>
      </c>
      <c r="E92" s="4">
        <v>0.33333333333333331</v>
      </c>
      <c r="F92" s="4">
        <v>7</v>
      </c>
      <c r="G92" s="4">
        <v>1</v>
      </c>
      <c r="H92" s="4">
        <v>1</v>
      </c>
      <c r="I92" s="4">
        <v>2</v>
      </c>
      <c r="L92" s="5">
        <f t="shared" si="56"/>
        <v>0.14314115308151093</v>
      </c>
      <c r="M92" s="5">
        <f t="shared" si="57"/>
        <v>0.14319809069212411</v>
      </c>
      <c r="N92" s="5">
        <f t="shared" si="58"/>
        <v>0.0070422535211267581</v>
      </c>
      <c r="O92" s="5">
        <f t="shared" si="59"/>
        <v>0.027777777777777773</v>
      </c>
      <c r="P92" s="5">
        <f t="shared" si="60"/>
        <v>0.39990931761505327</v>
      </c>
      <c r="Q92" s="5">
        <f t="shared" si="61"/>
        <v>0.046927374301675977</v>
      </c>
      <c r="R92" s="5">
        <f t="shared" si="62"/>
        <v>0.091139240506329114</v>
      </c>
      <c r="S92" s="6">
        <f t="shared" si="63"/>
        <v>0.12244897959183675</v>
      </c>
      <c r="T92" s="5">
        <f t="shared" si="64"/>
        <v>0.12269802338592933</v>
      </c>
      <c r="W92" s="5">
        <f>1/AB87</f>
        <v>2.3389733882131063</v>
      </c>
      <c r="X92" s="5">
        <f>1/AB88</f>
        <v>3.3590653525850702</v>
      </c>
      <c r="Y92" s="5">
        <f>1/AB89</f>
        <v>0.15946124967804184</v>
      </c>
      <c r="Z92" s="5">
        <f>1/AB90</f>
        <v>0.39443801347895058</v>
      </c>
      <c r="AA92" s="5">
        <f>1/AB91</f>
        <v>4.624972791099788</v>
      </c>
      <c r="AB92" s="5">
        <v>1</v>
      </c>
      <c r="AC92" s="5">
        <f>(H92*$T$7)/T93</f>
        <v>0.90897248908531758</v>
      </c>
      <c r="AD92" s="5">
        <f>(I92*$T$7)/T94</f>
        <v>4.1043399652440842</v>
      </c>
      <c r="AG92" s="5">
        <f/>
        <v>0.42753799809751791</v>
      </c>
      <c r="AH92" s="5">
        <f/>
        <v>0.29770185900980461</v>
      </c>
      <c r="AI92" s="5">
        <f/>
        <v>6.2711160361469442</v>
      </c>
      <c r="AJ92" s="5">
        <f/>
        <v>2.5352526019994408</v>
      </c>
      <c r="AK92" s="5">
        <f/>
        <v>0.21621748822487821</v>
      </c>
      <c r="AL92" s="5">
        <f/>
        <v>1</v>
      </c>
      <c r="AM92" s="5">
        <f/>
        <v>1.100143306874207</v>
      </c>
      <c r="AN92" s="5">
        <f/>
        <v>0.24364453443625261</v>
      </c>
      <c r="AR92" s="5">
        <f t="shared" si="65"/>
        <v>2.7665113863106243</v>
      </c>
      <c r="AS92" s="5">
        <f t="shared" si="66"/>
        <v>3.6567672115948748</v>
      </c>
      <c r="AT92" s="5">
        <f t="shared" si="67"/>
        <v>6.4305772858249863</v>
      </c>
      <c r="AU92" s="5">
        <f t="shared" si="68"/>
        <v>2.9296906154783913</v>
      </c>
      <c r="AV92" s="5">
        <f t="shared" si="69"/>
        <v>4.8411902793246666</v>
      </c>
      <c r="AW92" s="5">
        <f t="shared" si="70"/>
        <v>2</v>
      </c>
      <c r="AX92" s="5">
        <f t="shared" si="71"/>
        <v>2.0091157959595245</v>
      </c>
      <c r="AY92" s="5">
        <f t="shared" si="72"/>
        <v>4.3479844996803365</v>
      </c>
    </row>
    <row r="93">
      <c r="B93" s="4">
        <v>9</v>
      </c>
      <c r="C93" s="4">
        <v>0.20000000000000001</v>
      </c>
      <c r="D93" s="4">
        <v>2</v>
      </c>
      <c r="E93" s="4">
        <v>0.5</v>
      </c>
      <c r="F93" s="4">
        <v>0.5</v>
      </c>
      <c r="G93" s="4">
        <v>1</v>
      </c>
      <c r="H93" s="4">
        <v>1</v>
      </c>
      <c r="I93" s="4">
        <v>4</v>
      </c>
      <c r="L93" s="5">
        <f t="shared" si="56"/>
        <v>0.42942345924453273</v>
      </c>
      <c r="M93" s="5">
        <f t="shared" si="57"/>
        <v>0.0095465393794749408</v>
      </c>
      <c r="N93" s="5">
        <f t="shared" si="58"/>
        <v>0.098591549295774655</v>
      </c>
      <c r="O93" s="5">
        <f t="shared" si="59"/>
        <v>0.041666666666666657</v>
      </c>
      <c r="P93" s="5">
        <f t="shared" si="60"/>
        <v>0.028564951258218091</v>
      </c>
      <c r="Q93" s="5">
        <f t="shared" si="61"/>
        <v>0.046927374301675977</v>
      </c>
      <c r="R93" s="5">
        <f t="shared" si="62"/>
        <v>0.091139240506329114</v>
      </c>
      <c r="S93" s="6">
        <f t="shared" si="63"/>
        <v>0.24489795918367349</v>
      </c>
      <c r="T93" s="5">
        <f t="shared" si="64"/>
        <v>0.1238447174795432</v>
      </c>
      <c r="W93" s="5">
        <f>1/AC87</f>
        <v>7.0824979195705753</v>
      </c>
      <c r="X93" s="5">
        <f>1/AC88</f>
        <v>0.22603053583987137</v>
      </c>
      <c r="Y93" s="5">
        <f>1/AC89</f>
        <v>2.2533212857451264</v>
      </c>
      <c r="Z93" s="5">
        <f>1/AC90</f>
        <v>0.59718644597287085</v>
      </c>
      <c r="AA93" s="5">
        <f>1/AC91</f>
        <v>0.33344258696393964</v>
      </c>
      <c r="AB93" s="5">
        <f>1/AC92</f>
        <v>1.1001433068742066</v>
      </c>
      <c r="AC93" s="5">
        <v>1</v>
      </c>
      <c r="AD93" s="5">
        <f>(I93*T93)/T94</f>
        <v>9.0307242837991879</v>
      </c>
      <c r="AG93" s="5">
        <f/>
        <v>0.14119312301338899</v>
      </c>
      <c r="AH93" s="5">
        <f/>
        <v>4.4241809907862981</v>
      </c>
      <c r="AI93" s="5">
        <f/>
        <v>0.44378935499618333</v>
      </c>
      <c r="AJ93" s="5">
        <f/>
        <v>1.674518915731434</v>
      </c>
      <c r="AK93" s="5">
        <f/>
        <v>2.9990170395005529</v>
      </c>
      <c r="AL93" s="5">
        <f/>
        <v>0.90897248908531758</v>
      </c>
      <c r="AM93" s="5">
        <f/>
        <v>1</v>
      </c>
      <c r="AN93" s="5">
        <f/>
        <v>0.1107330894592769</v>
      </c>
      <c r="AR93" s="5">
        <f t="shared" si="65"/>
        <v>7.2236910425839644</v>
      </c>
      <c r="AS93" s="5">
        <f t="shared" si="66"/>
        <v>4.6502115266261699</v>
      </c>
      <c r="AT93" s="5">
        <f t="shared" si="67"/>
        <v>2.6971106407413097</v>
      </c>
      <c r="AU93" s="5">
        <f t="shared" si="68"/>
        <v>2.2717053617043046</v>
      </c>
      <c r="AV93" s="5">
        <f t="shared" si="69"/>
        <v>3.3324596264644923</v>
      </c>
      <c r="AW93" s="5">
        <f t="shared" si="70"/>
        <v>2.0091157959595241</v>
      </c>
      <c r="AX93" s="5">
        <f t="shared" si="71"/>
        <v>2</v>
      </c>
      <c r="AY93" s="13">
        <f t="shared" si="72"/>
        <v>9.141457373258465</v>
      </c>
    </row>
    <row r="94">
      <c r="B94" s="10">
        <v>1</v>
      </c>
      <c r="C94" s="10">
        <v>0.5</v>
      </c>
      <c r="D94" s="10">
        <v>3</v>
      </c>
      <c r="E94" s="10">
        <v>1</v>
      </c>
      <c r="F94" s="10">
        <v>0.5</v>
      </c>
      <c r="G94" s="10">
        <v>0.5</v>
      </c>
      <c r="H94" s="10">
        <v>0.25</v>
      </c>
      <c r="I94" s="10">
        <v>1</v>
      </c>
      <c r="L94" s="5">
        <f t="shared" si="56"/>
        <v>0.04771371769383697</v>
      </c>
      <c r="M94" s="5">
        <f t="shared" si="57"/>
        <v>0.02386634844868735</v>
      </c>
      <c r="N94" s="5">
        <f t="shared" si="58"/>
        <v>0.14788732394366197</v>
      </c>
      <c r="O94" s="5">
        <f t="shared" si="59"/>
        <v>0.083333333333333315</v>
      </c>
      <c r="P94" s="5">
        <f t="shared" si="60"/>
        <v>0.028564951258218091</v>
      </c>
      <c r="Q94" s="5">
        <f t="shared" si="61"/>
        <v>0.023463687150837988</v>
      </c>
      <c r="R94" s="5">
        <f t="shared" si="62"/>
        <v>0.022784810126582278</v>
      </c>
      <c r="S94" s="6">
        <f t="shared" si="63"/>
        <v>0.061224489795918373</v>
      </c>
      <c r="T94" s="5">
        <f t="shared" si="64"/>
        <v>0.054854832718884541</v>
      </c>
      <c r="W94" s="5">
        <f>1/AD87</f>
        <v>0.3485630558768672</v>
      </c>
      <c r="X94" s="5">
        <f>1/AD88</f>
        <v>0.25029059545684779</v>
      </c>
      <c r="Y94" s="5">
        <f>1/AD89</f>
        <v>1.4971033650894481</v>
      </c>
      <c r="Z94" s="5">
        <f>1/AD90</f>
        <v>0.52902640116625244</v>
      </c>
      <c r="AA94" s="5">
        <f>1/AD91</f>
        <v>0.14769251124724264</v>
      </c>
      <c r="AB94" s="5">
        <f>1/AD92</f>
        <v>0.24364453443625259</v>
      </c>
      <c r="AC94" s="5">
        <f>1/AD93</f>
        <v>0.11073308945927693</v>
      </c>
      <c r="AD94" s="5">
        <v>1</v>
      </c>
      <c r="AG94" s="5">
        <f/>
        <v>2.868921370580531</v>
      </c>
      <c r="AH94" s="5">
        <f/>
        <v>3.995355870941657</v>
      </c>
      <c r="AI94" s="5">
        <f/>
        <v>0.66795655084260164</v>
      </c>
      <c r="AJ94" s="5">
        <f/>
        <v>1.890264829497118</v>
      </c>
      <c r="AK94" s="5">
        <f/>
        <v>6.7708240015362966</v>
      </c>
      <c r="AL94" s="5">
        <f/>
        <v>4.1043399652440842</v>
      </c>
      <c r="AM94" s="5">
        <f/>
        <v>9.0307242837991879</v>
      </c>
      <c r="AN94" s="5">
        <f/>
        <v>1</v>
      </c>
      <c r="AR94" s="5">
        <f t="shared" si="65"/>
        <v>3.2174844264573981</v>
      </c>
      <c r="AS94" s="5">
        <f t="shared" si="66"/>
        <v>4.2456464663985045</v>
      </c>
      <c r="AT94" s="5">
        <f t="shared" si="67"/>
        <v>2.1650599159320496</v>
      </c>
      <c r="AU94" s="5">
        <f t="shared" si="68"/>
        <v>2.4192912306633705</v>
      </c>
      <c r="AV94" s="5">
        <f t="shared" si="69"/>
        <v>6.9185165127835395</v>
      </c>
      <c r="AW94" s="5">
        <f t="shared" si="70"/>
        <v>4.3479844996803365</v>
      </c>
      <c r="AX94" s="13">
        <f t="shared" si="71"/>
        <v>9.141457373258465</v>
      </c>
      <c r="AY94" s="5">
        <f t="shared" si="72"/>
        <v>2</v>
      </c>
    </row>
    <row r="95">
      <c r="A95" s="2" t="s">
        <v>6</v>
      </c>
      <c r="B95" s="11">
        <f>SUM(B87:B94)</f>
        <v>22.583333333333336</v>
      </c>
      <c r="C95" s="11">
        <f>SUM(C87:C94)</f>
        <v>14.949999999999999</v>
      </c>
      <c r="D95" s="11">
        <f>SUM(D87:D94)</f>
        <v>12.285714285714285</v>
      </c>
      <c r="E95" s="11">
        <f>SUM(E87:E94)</f>
        <v>12.000000000000002</v>
      </c>
      <c r="F95" s="11">
        <f>SUM(F87:F94)</f>
        <v>12.25</v>
      </c>
      <c r="G95" s="11">
        <f>SUM(G87:G94)</f>
        <v>13.30952380952381</v>
      </c>
      <c r="H95" s="11">
        <f>SUM(H87:H94)</f>
        <v>11.861111111111111</v>
      </c>
      <c r="I95" s="11">
        <f>SUM(I87:I94)</f>
        <v>13.333333333333334</v>
      </c>
    </row>
    <row r="97">
      <c r="B97" s="2" t="s">
        <v>7</v>
      </c>
      <c r="C97" s="2">
        <f>B95*T87+C95*T88+D95*T89+E95*T90+F95*T91+G95*T92+H95*T93+I95*T94</f>
        <v>11.43893041227323</v>
      </c>
    </row>
    <row r="98">
      <c r="B98" s="2" t="s">
        <v>8</v>
      </c>
      <c r="C98" s="2">
        <f>(C97-8)/7</f>
        <v>0.49127577318188997</v>
      </c>
    </row>
    <row r="99">
      <c r="B99" s="2" t="s">
        <v>9</v>
      </c>
      <c r="C99" s="2">
        <f>C98/1.41</f>
        <v>0.34842253417155317</v>
      </c>
    </row>
    <row r="103">
      <c r="A103" s="2" t="s">
        <v>23</v>
      </c>
    </row>
    <row r="104">
      <c r="T104" s="12" t="s">
        <v>3</v>
      </c>
    </row>
    <row r="105">
      <c r="B105" s="4">
        <v>1</v>
      </c>
      <c r="C105" s="4">
        <v>3</v>
      </c>
      <c r="D105" s="4">
        <v>0.14285714285714279</v>
      </c>
      <c r="E105" s="4">
        <v>4</v>
      </c>
      <c r="F105" s="4">
        <v>1</v>
      </c>
      <c r="G105" s="4">
        <v>0.33333333333333331</v>
      </c>
      <c r="H105" s="4">
        <v>0.1111111111111111</v>
      </c>
      <c r="I105" s="4">
        <v>1</v>
      </c>
      <c r="L105" s="5">
        <f t="shared" ref="L105:L147" si="73">B105/$B$10</f>
        <v>0.04771371769383697</v>
      </c>
      <c r="M105" s="5">
        <f t="shared" ref="M105:M147" si="74">C105/$C$10</f>
        <v>0.14319809069212411</v>
      </c>
      <c r="N105" s="5">
        <f t="shared" ref="N105:N147" si="75">D105/$D$10</f>
        <v>0.0070422535211267581</v>
      </c>
      <c r="O105" s="5">
        <f t="shared" ref="O105:O147" si="76">E105/$E$10</f>
        <v>0.33333333333333326</v>
      </c>
      <c r="P105" s="5">
        <f t="shared" ref="P105:P147" si="77">F105/$F$10</f>
        <v>0.057129902516436182</v>
      </c>
      <c r="Q105" s="5">
        <f t="shared" ref="Q105:Q147" si="78">G105/$G$10</f>
        <v>0.015642458100558657</v>
      </c>
      <c r="R105" s="5">
        <f t="shared" ref="R105:R147" si="79">H105/$H$10</f>
        <v>0.010126582278481013</v>
      </c>
      <c r="S105" s="6">
        <f t="shared" ref="S105:S147" si="80">I105/$I$10</f>
        <v>0.061224489795918373</v>
      </c>
      <c r="T105" s="5">
        <f t="shared" ref="T105:T147" si="81">AVERAGE(L105:S105)</f>
        <v>0.084426353491476924</v>
      </c>
      <c r="W105" s="5">
        <v>1</v>
      </c>
      <c r="X105" s="5">
        <f>(C105*$T$2)/T106</f>
        <v>4.0804575300734323</v>
      </c>
      <c r="Y105" s="5">
        <f>(D105*$T$2)/T107</f>
        <v>0.19336102650151915</v>
      </c>
      <c r="Z105" s="5">
        <f>(E105*$T$2)/T108</f>
        <v>6.0709405916286832</v>
      </c>
      <c r="AA105" s="5">
        <f>(F105*$T$2)/T109</f>
        <v>1.4870527957501829</v>
      </c>
      <c r="AB105" s="5">
        <f>(G105*$T$2)/T110</f>
        <v>0.42753799809751786</v>
      </c>
      <c r="AC105" s="5">
        <f>(H105*$T$2)/T111</f>
        <v>0.17332536955456748</v>
      </c>
      <c r="AD105" s="5">
        <f>(I105*$T$2)/T112</f>
        <v>2.4822767393091483</v>
      </c>
      <c r="AG105" s="5">
        <f t="array" ref="AG105:AN112">TRANSPOSE(W105:AD112)</f>
        <v>1</v>
      </c>
      <c r="AH105" s="5">
        <f/>
        <v>0.2450705570710851</v>
      </c>
      <c r="AI105" s="5">
        <f/>
        <v>5.171672999947293</v>
      </c>
      <c r="AJ105" s="5">
        <f/>
        <v>0.1647191213465202</v>
      </c>
      <c r="AK105" s="5">
        <f/>
        <v>0.67247108028570279</v>
      </c>
      <c r="AL105" s="5">
        <f/>
        <v>2.3389733882131059</v>
      </c>
      <c r="AM105" s="5">
        <f/>
        <v>5.7694958480107159</v>
      </c>
      <c r="AN105" s="5">
        <f/>
        <v>0.40285596854052369</v>
      </c>
      <c r="AR105" s="5">
        <f t="shared" ref="AR105:AR147" si="82">W105+AG105</f>
        <v>2</v>
      </c>
      <c r="AS105" s="5">
        <f t="shared" ref="AS105:AS147" si="83">X105+AH105</f>
        <v>4.3255280871445176</v>
      </c>
      <c r="AT105" s="5">
        <f t="shared" ref="AT105:AT147" si="84">Y105+AI105</f>
        <v>5.3650340264488126</v>
      </c>
      <c r="AU105" s="5">
        <f t="shared" ref="AU105:AU147" si="85">Z105+AJ105</f>
        <v>6.2356597129752034</v>
      </c>
      <c r="AV105" s="5">
        <f t="shared" ref="AV105:AV147" si="86">AA105+AK105</f>
        <v>2.1595238760358857</v>
      </c>
      <c r="AW105" s="5">
        <f t="shared" ref="AW105:AW147" si="87">AB105+AL105</f>
        <v>2.7665113863106239</v>
      </c>
      <c r="AX105" s="5">
        <f t="shared" ref="AX105:AX147" si="88">AC105+AM105</f>
        <v>5.9428212175652835</v>
      </c>
      <c r="AY105" s="5">
        <f t="shared" ref="AY105:AY147" si="89">AD105+AN105</f>
        <v>2.8851327078496718</v>
      </c>
    </row>
    <row r="106">
      <c r="B106" s="4">
        <v>0.33333333333333331</v>
      </c>
      <c r="C106" s="4">
        <v>1</v>
      </c>
      <c r="D106" s="4">
        <v>4</v>
      </c>
      <c r="E106" s="4">
        <v>0.16666666666666671</v>
      </c>
      <c r="F106" s="4">
        <v>1</v>
      </c>
      <c r="G106" s="4">
        <v>0.33333333333333331</v>
      </c>
      <c r="H106" s="4">
        <v>5</v>
      </c>
      <c r="I106" s="4">
        <v>2</v>
      </c>
      <c r="L106" s="5">
        <f t="shared" si="73"/>
        <v>0.015904572564612324</v>
      </c>
      <c r="M106" s="5">
        <f t="shared" si="74"/>
        <v>0.0477326968973747</v>
      </c>
      <c r="N106" s="5">
        <f t="shared" si="75"/>
        <v>0.19718309859154931</v>
      </c>
      <c r="O106" s="5">
        <f t="shared" si="76"/>
        <v>0.01388888888888889</v>
      </c>
      <c r="P106" s="5">
        <f t="shared" si="77"/>
        <v>0.057129902516436182</v>
      </c>
      <c r="Q106" s="5">
        <f t="shared" si="78"/>
        <v>0.015642458100558657</v>
      </c>
      <c r="R106" s="5">
        <f t="shared" si="79"/>
        <v>0.45569620253164561</v>
      </c>
      <c r="S106" s="6">
        <f t="shared" si="80"/>
        <v>0.12244897959183675</v>
      </c>
      <c r="T106" s="5">
        <f t="shared" si="81"/>
        <v>0.11570334996036281</v>
      </c>
      <c r="W106" s="5">
        <f>1/X105</f>
        <v>0.2450705570710851</v>
      </c>
      <c r="X106" s="5">
        <v>1</v>
      </c>
      <c r="Y106" s="5">
        <f>(D106*$T$3)/T107</f>
        <v>3.7699344726305761</v>
      </c>
      <c r="Z106" s="5">
        <f>(E106*$T$3)/T108</f>
        <v>0.17613739481522697</v>
      </c>
      <c r="AA106" s="5">
        <f>(F106*$T$3)/T109</f>
        <v>1.0354597338961691</v>
      </c>
      <c r="AB106" s="5">
        <f>(G106*$T$3)/T110</f>
        <v>0.29770185900980456</v>
      </c>
      <c r="AC106" s="5">
        <f>(H106*$T$3)/T111</f>
        <v>5.4310209225389228</v>
      </c>
      <c r="AD106" s="5">
        <f>(I106*$T$3)/T112</f>
        <v>3.4569016235163952</v>
      </c>
      <c r="AG106" s="5">
        <f/>
        <v>4.0804575300734323</v>
      </c>
      <c r="AH106" s="5">
        <f/>
        <v>1</v>
      </c>
      <c r="AI106" s="5">
        <f/>
        <v>0.26525659988520228</v>
      </c>
      <c r="AJ106" s="5">
        <f/>
        <v>5.677386116951646</v>
      </c>
      <c r="AK106" s="5">
        <f/>
        <v>0.96575459891352489</v>
      </c>
      <c r="AL106" s="5">
        <f/>
        <v>3.3590653525850702</v>
      </c>
      <c r="AM106" s="5">
        <f/>
        <v>0.18412744385682001</v>
      </c>
      <c r="AN106" s="5">
        <f/>
        <v>0.28927638356766128</v>
      </c>
      <c r="AR106" s="5">
        <f t="shared" si="82"/>
        <v>4.3255280871445176</v>
      </c>
      <c r="AS106" s="5">
        <f t="shared" si="83"/>
        <v>2</v>
      </c>
      <c r="AT106" s="5">
        <f t="shared" si="84"/>
        <v>4.0351910725157785</v>
      </c>
      <c r="AU106" s="5">
        <f t="shared" si="85"/>
        <v>5.8535235117668734</v>
      </c>
      <c r="AV106" s="5">
        <f t="shared" si="86"/>
        <v>2.0012143328096941</v>
      </c>
      <c r="AW106" s="5">
        <f t="shared" si="87"/>
        <v>3.6567672115948748</v>
      </c>
      <c r="AX106" s="5">
        <f t="shared" si="88"/>
        <v>5.6151483663957427</v>
      </c>
      <c r="AY106" s="5">
        <f t="shared" si="89"/>
        <v>3.7461780070840565</v>
      </c>
    </row>
    <row r="107">
      <c r="B107" s="4">
        <v>7</v>
      </c>
      <c r="C107" s="4">
        <v>0.25</v>
      </c>
      <c r="D107" s="4">
        <v>1</v>
      </c>
      <c r="E107" s="4">
        <v>1</v>
      </c>
      <c r="F107" s="4">
        <v>1</v>
      </c>
      <c r="G107" s="4">
        <v>7</v>
      </c>
      <c r="H107" s="4">
        <v>0.5</v>
      </c>
      <c r="I107" s="4">
        <v>0.33333333333333331</v>
      </c>
      <c r="L107" s="5">
        <f t="shared" si="73"/>
        <v>0.33399602385685884</v>
      </c>
      <c r="M107" s="5">
        <f t="shared" si="74"/>
        <v>0.011933174224343675</v>
      </c>
      <c r="N107" s="5">
        <f t="shared" si="75"/>
        <v>0.049295774647887328</v>
      </c>
      <c r="O107" s="5">
        <f t="shared" si="76"/>
        <v>0.083333333333333315</v>
      </c>
      <c r="P107" s="5">
        <f t="shared" si="77"/>
        <v>0.057129902516436182</v>
      </c>
      <c r="Q107" s="5">
        <f t="shared" si="78"/>
        <v>0.32849162011173183</v>
      </c>
      <c r="R107" s="5">
        <f t="shared" si="79"/>
        <v>0.045569620253164557</v>
      </c>
      <c r="S107" s="6">
        <f t="shared" si="80"/>
        <v>0.020408163265306124</v>
      </c>
      <c r="T107" s="5">
        <f t="shared" si="81"/>
        <v>0.11626970152613274</v>
      </c>
      <c r="W107" s="5">
        <f>1/Y105</f>
        <v>5.1716729999472948</v>
      </c>
      <c r="X107" s="5">
        <f>1/Y106</f>
        <v>0.26525659988520234</v>
      </c>
      <c r="Y107" s="5">
        <v>1</v>
      </c>
      <c r="Z107" s="5">
        <f>(E107*$T$4)/T108</f>
        <v>1.0600999506830535</v>
      </c>
      <c r="AA107" s="5">
        <f>(F107*$T$4)/T109</f>
        <v>1.0386690969182752</v>
      </c>
      <c r="AB107" s="5">
        <f>(G107*$T$4)/T110</f>
        <v>6.2711160361469442</v>
      </c>
      <c r="AC107" s="5">
        <f>(H107*$T$4)/T111</f>
        <v>0.54478541388876611</v>
      </c>
      <c r="AD107" s="5">
        <f>(I107*$T$4)/T112</f>
        <v>0.57793602363185326</v>
      </c>
      <c r="AG107" s="5">
        <f/>
        <v>0.19336102650151921</v>
      </c>
      <c r="AH107" s="5">
        <f/>
        <v>3.7699344726305761</v>
      </c>
      <c r="AI107" s="5">
        <f/>
        <v>1</v>
      </c>
      <c r="AJ107" s="5">
        <f/>
        <v>0.94330727905012224</v>
      </c>
      <c r="AK107" s="5">
        <f/>
        <v>0.9627705329512487</v>
      </c>
      <c r="AL107" s="5">
        <f/>
        <v>0.15946124967804179</v>
      </c>
      <c r="AM107" s="5">
        <f/>
        <v>1.8355851212348711</v>
      </c>
      <c r="AN107" s="5">
        <f/>
        <v>1.7302953252780839</v>
      </c>
      <c r="AR107" s="5">
        <f t="shared" si="82"/>
        <v>5.3650340264488143</v>
      </c>
      <c r="AS107" s="5">
        <f t="shared" si="83"/>
        <v>4.0351910725157785</v>
      </c>
      <c r="AT107" s="5">
        <f t="shared" si="84"/>
        <v>2</v>
      </c>
      <c r="AU107" s="5">
        <f t="shared" si="85"/>
        <v>2.0034072297331758</v>
      </c>
      <c r="AV107" s="5">
        <f t="shared" si="86"/>
        <v>2.0014396298695241</v>
      </c>
      <c r="AW107" s="13">
        <f t="shared" si="87"/>
        <v>6.4305772858249863</v>
      </c>
      <c r="AX107" s="5">
        <f t="shared" si="88"/>
        <v>2.3803705351236371</v>
      </c>
      <c r="AY107" s="5">
        <f t="shared" si="89"/>
        <v>2.3082313489099371</v>
      </c>
    </row>
    <row r="108" ht="18.75" customHeight="1">
      <c r="B108" s="4">
        <v>0.25</v>
      </c>
      <c r="C108" s="4">
        <v>6</v>
      </c>
      <c r="D108" s="4">
        <v>1</v>
      </c>
      <c r="E108" s="4">
        <v>1</v>
      </c>
      <c r="F108" s="4">
        <v>0.25</v>
      </c>
      <c r="G108" s="4">
        <v>3</v>
      </c>
      <c r="H108" s="4">
        <v>2</v>
      </c>
      <c r="I108" s="4">
        <v>1</v>
      </c>
      <c r="L108" s="5">
        <f t="shared" si="73"/>
        <v>0.011928429423459242</v>
      </c>
      <c r="M108" s="5">
        <f t="shared" si="74"/>
        <v>0.28639618138424822</v>
      </c>
      <c r="N108" s="5">
        <f t="shared" si="75"/>
        <v>0.049295774647887328</v>
      </c>
      <c r="O108" s="5">
        <f t="shared" si="76"/>
        <v>0.083333333333333315</v>
      </c>
      <c r="P108" s="5">
        <f t="shared" si="77"/>
        <v>0.014282475629109045</v>
      </c>
      <c r="Q108" s="5">
        <f t="shared" si="78"/>
        <v>0.14078212290502792</v>
      </c>
      <c r="R108" s="5">
        <f t="shared" si="79"/>
        <v>0.18227848101265823</v>
      </c>
      <c r="S108" s="6">
        <f t="shared" si="80"/>
        <v>0.061224489795918373</v>
      </c>
      <c r="T108" s="5">
        <f t="shared" si="81"/>
        <v>0.1036901610164552</v>
      </c>
      <c r="W108" s="5">
        <f>1/Z105</f>
        <v>0.16471912134652017</v>
      </c>
      <c r="X108" s="5">
        <f>1/Z106</f>
        <v>5.6773861169516433</v>
      </c>
      <c r="Y108" s="5">
        <f>1/Z107</f>
        <v>0.94330727905012224</v>
      </c>
      <c r="Z108" s="5">
        <v>1</v>
      </c>
      <c r="AA108" s="5">
        <f>(F108*$T$5)/T109</f>
        <v>0.24494602991185646</v>
      </c>
      <c r="AB108" s="5">
        <f>(G108*$T$5)/T110</f>
        <v>2.5352526019994408</v>
      </c>
      <c r="AC108" s="5">
        <f>(H108*$T$5)/T111</f>
        <v>2.0556001857664263</v>
      </c>
      <c r="AD108" s="5">
        <f>(I108*$T$5)/T112</f>
        <v>1.6355137737516319</v>
      </c>
      <c r="AF108" s="2" t="s">
        <v>4</v>
      </c>
      <c r="AG108" s="5">
        <f/>
        <v>6.0709405916286832</v>
      </c>
      <c r="AH108" s="5">
        <f/>
        <v>0.17613739481522689</v>
      </c>
      <c r="AI108" s="5">
        <f/>
        <v>1.060099950683054</v>
      </c>
      <c r="AJ108" s="5">
        <f/>
        <v>1</v>
      </c>
      <c r="AK108" s="5">
        <f/>
        <v>4.0825319780028639</v>
      </c>
      <c r="AL108" s="5">
        <f/>
        <v>0.39443801347895058</v>
      </c>
      <c r="AM108" s="5">
        <f/>
        <v>0.48647592412390839</v>
      </c>
      <c r="AN108" s="5">
        <f/>
        <v>0.61142866299813836</v>
      </c>
      <c r="AP108" s="8" t="s">
        <v>5</v>
      </c>
      <c r="AR108" s="5">
        <f t="shared" si="82"/>
        <v>6.2356597129752034</v>
      </c>
      <c r="AS108" s="5">
        <f t="shared" si="83"/>
        <v>5.8535235117668698</v>
      </c>
      <c r="AT108" s="5">
        <f t="shared" si="84"/>
        <v>2.0034072297331762</v>
      </c>
      <c r="AU108" s="5">
        <f t="shared" si="85"/>
        <v>2</v>
      </c>
      <c r="AV108" s="5">
        <f t="shared" si="86"/>
        <v>4.3274780079147206</v>
      </c>
      <c r="AW108" s="5">
        <f t="shared" si="87"/>
        <v>2.9296906154783913</v>
      </c>
      <c r="AX108" s="5">
        <f t="shared" si="88"/>
        <v>2.5420761098903348</v>
      </c>
      <c r="AY108" s="5">
        <f t="shared" si="89"/>
        <v>2.2469424367497703</v>
      </c>
    </row>
    <row r="109">
      <c r="B109" s="4">
        <v>1</v>
      </c>
      <c r="C109" s="4">
        <v>1</v>
      </c>
      <c r="D109" s="4">
        <v>1</v>
      </c>
      <c r="E109" s="4">
        <v>4</v>
      </c>
      <c r="F109" s="4">
        <v>1</v>
      </c>
      <c r="G109" s="4">
        <v>0.14285714285714279</v>
      </c>
      <c r="H109" s="4">
        <v>2</v>
      </c>
      <c r="I109" s="4">
        <v>2</v>
      </c>
      <c r="L109" s="5">
        <f t="shared" si="73"/>
        <v>0.04771371769383697</v>
      </c>
      <c r="M109" s="5">
        <f t="shared" si="74"/>
        <v>0.0477326968973747</v>
      </c>
      <c r="N109" s="5">
        <f t="shared" si="75"/>
        <v>0.049295774647887328</v>
      </c>
      <c r="O109" s="5">
        <f t="shared" si="76"/>
        <v>0.33333333333333326</v>
      </c>
      <c r="P109" s="5">
        <f t="shared" si="77"/>
        <v>0.057129902516436182</v>
      </c>
      <c r="Q109" s="5">
        <f t="shared" si="78"/>
        <v>0.0067039106145251361</v>
      </c>
      <c r="R109" s="5">
        <f t="shared" si="79"/>
        <v>0.18227848101265823</v>
      </c>
      <c r="S109" s="6">
        <f t="shared" si="80"/>
        <v>0.12244897959183675</v>
      </c>
      <c r="T109" s="5">
        <f t="shared" si="81"/>
        <v>0.10582959953848607</v>
      </c>
      <c r="W109" s="5">
        <f>1/AA105</f>
        <v>0.67247108028570279</v>
      </c>
      <c r="X109" s="5">
        <f>1/AA106</f>
        <v>0.96575459891352489</v>
      </c>
      <c r="Y109" s="5">
        <f>1/AA107</f>
        <v>0.9627705329512487</v>
      </c>
      <c r="Z109" s="5">
        <f>1/AA108</f>
        <v>4.0825319780028639</v>
      </c>
      <c r="AA109" s="5">
        <v>1</v>
      </c>
      <c r="AB109" s="5">
        <f>(G109*$T$6)/T110</f>
        <v>0.2162174882248781</v>
      </c>
      <c r="AC109" s="5">
        <f>(H109*$T$6)/T111</f>
        <v>3.6815230485594279</v>
      </c>
      <c r="AD109" s="5">
        <f>(I109*$T$6)/T112</f>
        <v>5.8583198191899921</v>
      </c>
      <c r="AG109" s="5">
        <f/>
        <v>1.4870527957501829</v>
      </c>
      <c r="AH109" s="5">
        <f/>
        <v>1.0354597338961691</v>
      </c>
      <c r="AI109" s="5">
        <f/>
        <v>1.038669096918275</v>
      </c>
      <c r="AJ109" s="5">
        <f/>
        <v>0.24494602991185649</v>
      </c>
      <c r="AK109" s="5">
        <f/>
        <v>1</v>
      </c>
      <c r="AL109" s="5">
        <f/>
        <v>4.6249727910997862</v>
      </c>
      <c r="AM109" s="5">
        <f/>
        <v>0.27162671177389419</v>
      </c>
      <c r="AN109" s="5">
        <f/>
        <v>0.17069740657113289</v>
      </c>
      <c r="AR109" s="5">
        <f t="shared" si="82"/>
        <v>2.1595238760358857</v>
      </c>
      <c r="AS109" s="5">
        <f t="shared" si="83"/>
        <v>2.0012143328096941</v>
      </c>
      <c r="AT109" s="5">
        <f t="shared" si="84"/>
        <v>2.0014396298695236</v>
      </c>
      <c r="AU109" s="5">
        <f t="shared" si="85"/>
        <v>4.3274780079147206</v>
      </c>
      <c r="AV109" s="5">
        <f t="shared" si="86"/>
        <v>2</v>
      </c>
      <c r="AW109" s="5">
        <f t="shared" si="87"/>
        <v>4.8411902793246639</v>
      </c>
      <c r="AX109" s="5">
        <f t="shared" si="88"/>
        <v>3.9531497603333223</v>
      </c>
      <c r="AY109" s="5">
        <f t="shared" si="89"/>
        <v>6.029017225761125</v>
      </c>
    </row>
    <row r="110">
      <c r="B110" s="4">
        <v>3</v>
      </c>
      <c r="C110" s="4">
        <v>3</v>
      </c>
      <c r="D110" s="4">
        <v>0.14285714285714279</v>
      </c>
      <c r="E110" s="4">
        <v>0.33333333333333331</v>
      </c>
      <c r="F110" s="4">
        <v>7</v>
      </c>
      <c r="G110" s="4">
        <v>1</v>
      </c>
      <c r="H110" s="4">
        <v>1</v>
      </c>
      <c r="I110" s="4">
        <v>2</v>
      </c>
      <c r="L110" s="5">
        <f t="shared" si="73"/>
        <v>0.14314115308151093</v>
      </c>
      <c r="M110" s="5">
        <f t="shared" si="74"/>
        <v>0.14319809069212411</v>
      </c>
      <c r="N110" s="5">
        <f t="shared" si="75"/>
        <v>0.0070422535211267581</v>
      </c>
      <c r="O110" s="5">
        <f t="shared" si="76"/>
        <v>0.027777777777777773</v>
      </c>
      <c r="P110" s="5">
        <f t="shared" si="77"/>
        <v>0.39990931761505327</v>
      </c>
      <c r="Q110" s="5">
        <f t="shared" si="78"/>
        <v>0.046927374301675977</v>
      </c>
      <c r="R110" s="5">
        <f t="shared" si="79"/>
        <v>0.091139240506329114</v>
      </c>
      <c r="S110" s="6">
        <f t="shared" si="80"/>
        <v>0.12244897959183675</v>
      </c>
      <c r="T110" s="5">
        <f t="shared" si="81"/>
        <v>0.12269802338592933</v>
      </c>
      <c r="W110" s="5">
        <f>1/AB105</f>
        <v>2.3389733882131063</v>
      </c>
      <c r="X110" s="5">
        <f>1/AB106</f>
        <v>3.3590653525850702</v>
      </c>
      <c r="Y110" s="5">
        <f>1/AB107</f>
        <v>0.15946124967804184</v>
      </c>
      <c r="Z110" s="5">
        <f>1/AB108</f>
        <v>0.39443801347895058</v>
      </c>
      <c r="AA110" s="5">
        <f>1/AB109</f>
        <v>4.624972791099788</v>
      </c>
      <c r="AB110" s="5">
        <v>1</v>
      </c>
      <c r="AC110" s="5">
        <f>(H110*$T$7)/T111</f>
        <v>1.1158333297203704</v>
      </c>
      <c r="AD110" s="5">
        <f>(I110*$T$7)/T112</f>
        <v>3.5511979277008656</v>
      </c>
      <c r="AG110" s="5">
        <f/>
        <v>0.42753799809751791</v>
      </c>
      <c r="AH110" s="5">
        <f/>
        <v>0.29770185900980461</v>
      </c>
      <c r="AI110" s="5">
        <f/>
        <v>6.2711160361469442</v>
      </c>
      <c r="AJ110" s="5">
        <f/>
        <v>2.5352526019994408</v>
      </c>
      <c r="AK110" s="5">
        <f/>
        <v>0.21621748822487821</v>
      </c>
      <c r="AL110" s="5">
        <f/>
        <v>1</v>
      </c>
      <c r="AM110" s="5">
        <f/>
        <v>0.89619119035510575</v>
      </c>
      <c r="AN110" s="5">
        <f/>
        <v>0.28159511814297128</v>
      </c>
      <c r="AR110" s="5">
        <f t="shared" si="82"/>
        <v>2.7665113863106243</v>
      </c>
      <c r="AS110" s="5">
        <f t="shared" si="83"/>
        <v>3.6567672115948748</v>
      </c>
      <c r="AT110" s="13">
        <f t="shared" si="84"/>
        <v>6.4305772858249863</v>
      </c>
      <c r="AU110" s="5">
        <f t="shared" si="85"/>
        <v>2.9296906154783913</v>
      </c>
      <c r="AV110" s="5">
        <f t="shared" si="86"/>
        <v>4.8411902793246666</v>
      </c>
      <c r="AW110" s="5">
        <f t="shared" si="87"/>
        <v>2</v>
      </c>
      <c r="AX110" s="5">
        <f t="shared" si="88"/>
        <v>2.0120245200754763</v>
      </c>
      <c r="AY110" s="5">
        <f t="shared" si="89"/>
        <v>3.8327930458438368</v>
      </c>
    </row>
    <row r="111">
      <c r="B111" s="4">
        <v>9</v>
      </c>
      <c r="C111" s="4">
        <v>0.20000000000000001</v>
      </c>
      <c r="D111" s="4">
        <v>2</v>
      </c>
      <c r="E111" s="4">
        <v>0.5</v>
      </c>
      <c r="F111" s="4">
        <v>0.5</v>
      </c>
      <c r="G111" s="4">
        <v>1</v>
      </c>
      <c r="H111" s="4">
        <v>1</v>
      </c>
      <c r="I111" s="4">
        <v>1</v>
      </c>
      <c r="L111" s="5">
        <f t="shared" si="73"/>
        <v>0.42942345924453273</v>
      </c>
      <c r="M111" s="5">
        <f t="shared" si="74"/>
        <v>0.0095465393794749408</v>
      </c>
      <c r="N111" s="5">
        <f t="shared" si="75"/>
        <v>0.098591549295774655</v>
      </c>
      <c r="O111" s="5">
        <f t="shared" si="76"/>
        <v>0.041666666666666657</v>
      </c>
      <c r="P111" s="5">
        <f t="shared" si="77"/>
        <v>0.028564951258218091</v>
      </c>
      <c r="Q111" s="5">
        <f t="shared" si="78"/>
        <v>0.046927374301675977</v>
      </c>
      <c r="R111" s="5">
        <f t="shared" si="79"/>
        <v>0.091139240506329114</v>
      </c>
      <c r="S111" s="6">
        <f t="shared" si="80"/>
        <v>0.061224489795918373</v>
      </c>
      <c r="T111" s="5">
        <f t="shared" si="81"/>
        <v>0.1008855338060738</v>
      </c>
      <c r="W111" s="5">
        <f>1/AC105</f>
        <v>5.7694958480107159</v>
      </c>
      <c r="X111" s="5">
        <f>1/AC106</f>
        <v>0.18412744385681995</v>
      </c>
      <c r="Y111" s="5">
        <f>1/AC107</f>
        <v>1.8355851212348708</v>
      </c>
      <c r="Z111" s="5">
        <f>1/AC108</f>
        <v>0.48647592412390839</v>
      </c>
      <c r="AA111" s="5">
        <f>1/AC109</f>
        <v>0.27162671177389419</v>
      </c>
      <c r="AB111" s="5">
        <f>1/AC110</f>
        <v>0.89619119035510575</v>
      </c>
      <c r="AC111" s="5">
        <v>1</v>
      </c>
      <c r="AD111" s="5">
        <f>(I111*T111)/T112</f>
        <v>1.5912761490064118</v>
      </c>
      <c r="AG111" s="5">
        <f/>
        <v>0.17332536955456751</v>
      </c>
      <c r="AH111" s="5">
        <f/>
        <v>5.4310209225389228</v>
      </c>
      <c r="AI111" s="5">
        <f/>
        <v>0.54478541388876611</v>
      </c>
      <c r="AJ111" s="5">
        <f/>
        <v>2.0556001857664259</v>
      </c>
      <c r="AK111" s="5">
        <f/>
        <v>3.6815230485594279</v>
      </c>
      <c r="AL111" s="5">
        <f/>
        <v>1.11583332972037</v>
      </c>
      <c r="AM111" s="5">
        <f/>
        <v>1</v>
      </c>
      <c r="AN111" s="5">
        <f/>
        <v>0.62842643662094544</v>
      </c>
      <c r="AR111" s="5">
        <f t="shared" si="82"/>
        <v>5.9428212175652835</v>
      </c>
      <c r="AS111" s="5">
        <f t="shared" si="83"/>
        <v>5.6151483663957427</v>
      </c>
      <c r="AT111" s="5">
        <f t="shared" si="84"/>
        <v>2.3803705351236371</v>
      </c>
      <c r="AU111" s="5">
        <f t="shared" si="85"/>
        <v>2.5420761098903344</v>
      </c>
      <c r="AV111" s="5">
        <f t="shared" si="86"/>
        <v>3.9531497603333223</v>
      </c>
      <c r="AW111" s="5">
        <f t="shared" si="87"/>
        <v>2.0120245200754758</v>
      </c>
      <c r="AX111" s="5">
        <f t="shared" si="88"/>
        <v>2</v>
      </c>
      <c r="AY111" s="5">
        <f t="shared" si="89"/>
        <v>2.2197025856273571</v>
      </c>
    </row>
    <row r="112">
      <c r="B112" s="10">
        <v>1</v>
      </c>
      <c r="C112" s="10">
        <v>0.5</v>
      </c>
      <c r="D112" s="10">
        <v>3</v>
      </c>
      <c r="E112" s="10">
        <v>1</v>
      </c>
      <c r="F112" s="10">
        <v>0.5</v>
      </c>
      <c r="G112" s="10">
        <v>0.5</v>
      </c>
      <c r="H112" s="10">
        <v>1</v>
      </c>
      <c r="I112" s="10">
        <v>1</v>
      </c>
      <c r="L112" s="5">
        <f t="shared" si="73"/>
        <v>0.04771371769383697</v>
      </c>
      <c r="M112" s="5">
        <f t="shared" si="74"/>
        <v>0.02386634844868735</v>
      </c>
      <c r="N112" s="5">
        <f t="shared" si="75"/>
        <v>0.14788732394366197</v>
      </c>
      <c r="O112" s="5">
        <f t="shared" si="76"/>
        <v>0.083333333333333315</v>
      </c>
      <c r="P112" s="5">
        <f t="shared" si="77"/>
        <v>0.028564951258218091</v>
      </c>
      <c r="Q112" s="5">
        <f t="shared" si="78"/>
        <v>0.023463687150837988</v>
      </c>
      <c r="R112" s="5">
        <f t="shared" si="79"/>
        <v>0.091139240506329114</v>
      </c>
      <c r="S112" s="6">
        <f t="shared" si="80"/>
        <v>0.061224489795918373</v>
      </c>
      <c r="T112" s="5">
        <f t="shared" si="81"/>
        <v>0.063399136516352886</v>
      </c>
      <c r="W112" s="5">
        <f>1/AD105</f>
        <v>0.40285596854052369</v>
      </c>
      <c r="X112" s="5">
        <f>1/AD106</f>
        <v>0.28927638356766133</v>
      </c>
      <c r="Y112" s="5">
        <f>1/AD107</f>
        <v>1.7302953252780839</v>
      </c>
      <c r="Z112" s="5">
        <f>1/AD108</f>
        <v>0.61142866299813836</v>
      </c>
      <c r="AA112" s="5">
        <f>1/AD109</f>
        <v>0.17069740657113291</v>
      </c>
      <c r="AB112" s="5">
        <f>1/AD110</f>
        <v>0.28159511814297128</v>
      </c>
      <c r="AC112" s="5">
        <f>1/AD111</f>
        <v>0.62842643662094544</v>
      </c>
      <c r="AD112" s="5">
        <v>1</v>
      </c>
      <c r="AG112" s="5">
        <f/>
        <v>2.4822767393091478</v>
      </c>
      <c r="AH112" s="5">
        <f/>
        <v>3.4569016235163952</v>
      </c>
      <c r="AI112" s="5">
        <f/>
        <v>0.57793602363185326</v>
      </c>
      <c r="AJ112" s="5">
        <f/>
        <v>1.6355137737516321</v>
      </c>
      <c r="AK112" s="5">
        <f/>
        <v>5.8583198191899921</v>
      </c>
      <c r="AL112" s="5">
        <f/>
        <v>3.5511979277008661</v>
      </c>
      <c r="AM112" s="5">
        <f/>
        <v>1.591276149006412</v>
      </c>
      <c r="AN112" s="5">
        <f/>
        <v>1</v>
      </c>
      <c r="AR112" s="5">
        <f t="shared" si="82"/>
        <v>2.8851327078496714</v>
      </c>
      <c r="AS112" s="5">
        <f t="shared" si="83"/>
        <v>3.7461780070840565</v>
      </c>
      <c r="AT112" s="5">
        <f t="shared" si="84"/>
        <v>2.3082313489099371</v>
      </c>
      <c r="AU112" s="5">
        <f t="shared" si="85"/>
        <v>2.2469424367497703</v>
      </c>
      <c r="AV112" s="5">
        <f t="shared" si="86"/>
        <v>6.029017225761125</v>
      </c>
      <c r="AW112" s="5">
        <f t="shared" si="87"/>
        <v>3.8327930458438373</v>
      </c>
      <c r="AX112" s="5">
        <f t="shared" si="88"/>
        <v>2.2197025856273576</v>
      </c>
      <c r="AY112" s="5">
        <f t="shared" si="89"/>
        <v>2</v>
      </c>
    </row>
    <row r="113">
      <c r="A113" s="2" t="s">
        <v>6</v>
      </c>
      <c r="B113" s="11">
        <f>SUM(B105:B112)</f>
        <v>22.583333333333336</v>
      </c>
      <c r="C113" s="11">
        <f>SUM(C105:C112)</f>
        <v>14.949999999999999</v>
      </c>
      <c r="D113" s="11">
        <f>SUM(D105:D112)</f>
        <v>12.285714285714285</v>
      </c>
      <c r="E113" s="11">
        <f>SUM(E105:E112)</f>
        <v>12.000000000000002</v>
      </c>
      <c r="F113" s="11">
        <f>SUM(F105:F112)</f>
        <v>12.25</v>
      </c>
      <c r="G113" s="11">
        <f>SUM(G105:G112)</f>
        <v>13.30952380952381</v>
      </c>
      <c r="H113" s="11">
        <f>SUM(H105:H112)</f>
        <v>12.611111111111111</v>
      </c>
      <c r="I113" s="11">
        <f>SUM(I105:I112)</f>
        <v>10.333333333333334</v>
      </c>
    </row>
    <row r="115">
      <c r="B115" s="2" t="s">
        <v>7</v>
      </c>
      <c r="C115" s="2">
        <f>B113*T105+C113*T106+D113*T107+E113*T108+F113*T109+G113*T110+H113*T111+I113*T112</f>
        <v>11.165999775140209</v>
      </c>
    </row>
    <row r="116">
      <c r="B116" s="2" t="s">
        <v>8</v>
      </c>
      <c r="C116" s="2">
        <f>(C115-8)/7</f>
        <v>0.452285682162887</v>
      </c>
    </row>
    <row r="117">
      <c r="B117" s="2" t="s">
        <v>9</v>
      </c>
      <c r="C117" s="2">
        <f>C116/1.41</f>
        <v>0.32076998734956524</v>
      </c>
    </row>
    <row r="120">
      <c r="A120" s="2" t="s">
        <v>24</v>
      </c>
    </row>
    <row r="121">
      <c r="T121" s="12" t="s">
        <v>3</v>
      </c>
    </row>
    <row r="122">
      <c r="B122" s="4">
        <v>1</v>
      </c>
      <c r="C122" s="4">
        <v>3</v>
      </c>
      <c r="D122" s="4">
        <v>0.14285714285714279</v>
      </c>
      <c r="E122" s="4">
        <v>4</v>
      </c>
      <c r="F122" s="4">
        <v>1</v>
      </c>
      <c r="G122" s="4">
        <v>0.33333333333333331</v>
      </c>
      <c r="H122" s="4">
        <v>0.1111111111111111</v>
      </c>
      <c r="I122" s="4">
        <v>1</v>
      </c>
      <c r="L122" s="5">
        <f t="shared" si="73"/>
        <v>0.04771371769383697</v>
      </c>
      <c r="M122" s="5">
        <f t="shared" si="74"/>
        <v>0.14319809069212411</v>
      </c>
      <c r="N122" s="5">
        <f t="shared" si="75"/>
        <v>0.0070422535211267581</v>
      </c>
      <c r="O122" s="5">
        <f t="shared" si="76"/>
        <v>0.33333333333333326</v>
      </c>
      <c r="P122" s="5">
        <f t="shared" si="77"/>
        <v>0.057129902516436182</v>
      </c>
      <c r="Q122" s="5">
        <f t="shared" si="78"/>
        <v>0.015642458100558657</v>
      </c>
      <c r="R122" s="5">
        <f t="shared" si="79"/>
        <v>0.010126582278481013</v>
      </c>
      <c r="S122" s="6">
        <f t="shared" si="80"/>
        <v>0.061224489795918373</v>
      </c>
      <c r="T122" s="5">
        <f t="shared" si="81"/>
        <v>0.084426353491476924</v>
      </c>
      <c r="W122" s="5">
        <v>1</v>
      </c>
      <c r="X122" s="5">
        <f>(C122*$T$2)/T123</f>
        <v>4.0804575300734323</v>
      </c>
      <c r="Y122" s="5">
        <f>(D122*$T$2)/T124</f>
        <v>0.27730198923172616</v>
      </c>
      <c r="Z122" s="5">
        <f>(E122*$T$2)/T125</f>
        <v>6.0709405916286832</v>
      </c>
      <c r="AA122" s="5">
        <f>(F122*$T$2)/T126</f>
        <v>1.4870527957501829</v>
      </c>
      <c r="AB122" s="5">
        <f>(G122*$T$2)/T127</f>
        <v>0.47359850788417479</v>
      </c>
      <c r="AC122" s="5">
        <f>(H122*$T$2)/T128</f>
        <v>0.17332536955456748</v>
      </c>
      <c r="AD122" s="5">
        <f>(I122*$T$2)/T129</f>
        <v>2.4822767393091483</v>
      </c>
      <c r="AG122" s="5">
        <f t="array" ref="AG122:AN129">TRANSPOSE(W122:AD129)</f>
        <v>1</v>
      </c>
      <c r="AH122" s="5">
        <f/>
        <v>0.2450705570710851</v>
      </c>
      <c r="AI122" s="5">
        <f/>
        <v>3.60617679941832</v>
      </c>
      <c r="AJ122" s="5">
        <f/>
        <v>0.1647191213465202</v>
      </c>
      <c r="AK122" s="5">
        <f/>
        <v>0.67247108028570279</v>
      </c>
      <c r="AL122" s="5">
        <f/>
        <v>2.1114931389196099</v>
      </c>
      <c r="AM122" s="5">
        <f/>
        <v>5.7694958480107159</v>
      </c>
      <c r="AN122" s="5">
        <f/>
        <v>0.40285596854052369</v>
      </c>
      <c r="AR122" s="5">
        <f t="shared" si="82"/>
        <v>2</v>
      </c>
      <c r="AS122" s="5">
        <f t="shared" si="83"/>
        <v>4.3255280871445176</v>
      </c>
      <c r="AT122" s="5">
        <f t="shared" si="84"/>
        <v>3.8834787886500464</v>
      </c>
      <c r="AU122" s="13">
        <f t="shared" si="85"/>
        <v>6.2356597129752034</v>
      </c>
      <c r="AV122" s="5">
        <f t="shared" si="86"/>
        <v>2.1595238760358857</v>
      </c>
      <c r="AW122" s="5">
        <f t="shared" si="87"/>
        <v>2.5850916468037846</v>
      </c>
      <c r="AX122" s="5">
        <f t="shared" si="88"/>
        <v>5.9428212175652835</v>
      </c>
      <c r="AY122" s="5">
        <f t="shared" si="89"/>
        <v>2.8851327078496718</v>
      </c>
    </row>
    <row r="123">
      <c r="B123" s="4">
        <v>0.33333333333333331</v>
      </c>
      <c r="C123" s="4">
        <v>1</v>
      </c>
      <c r="D123" s="4">
        <v>4</v>
      </c>
      <c r="E123" s="4">
        <v>0.16666666666666671</v>
      </c>
      <c r="F123" s="4">
        <v>1</v>
      </c>
      <c r="G123" s="4">
        <v>0.33333333333333331</v>
      </c>
      <c r="H123" s="4">
        <v>5</v>
      </c>
      <c r="I123" s="4">
        <v>2</v>
      </c>
      <c r="L123" s="5">
        <f t="shared" si="73"/>
        <v>0.015904572564612324</v>
      </c>
      <c r="M123" s="5">
        <f t="shared" si="74"/>
        <v>0.0477326968973747</v>
      </c>
      <c r="N123" s="5">
        <f t="shared" si="75"/>
        <v>0.19718309859154931</v>
      </c>
      <c r="O123" s="5">
        <f t="shared" si="76"/>
        <v>0.01388888888888889</v>
      </c>
      <c r="P123" s="5">
        <f t="shared" si="77"/>
        <v>0.057129902516436182</v>
      </c>
      <c r="Q123" s="5">
        <f t="shared" si="78"/>
        <v>0.015642458100558657</v>
      </c>
      <c r="R123" s="5">
        <f t="shared" si="79"/>
        <v>0.45569620253164561</v>
      </c>
      <c r="S123" s="6">
        <f t="shared" si="80"/>
        <v>0.12244897959183675</v>
      </c>
      <c r="T123" s="5">
        <f t="shared" si="81"/>
        <v>0.11570334996036281</v>
      </c>
      <c r="W123" s="5">
        <f>1/X122</f>
        <v>0.2450705570710851</v>
      </c>
      <c r="X123" s="5">
        <v>1</v>
      </c>
      <c r="Y123" s="5">
        <f>(D123*$T$3)/T124</f>
        <v>5.4065203699438573</v>
      </c>
      <c r="Z123" s="5">
        <f>(E123*$T$3)/T125</f>
        <v>0.17613739481522697</v>
      </c>
      <c r="AA123" s="5">
        <f>(F123*$T$3)/T126</f>
        <v>1.0354597338961691</v>
      </c>
      <c r="AB123" s="5">
        <f>(G123*$T$3)/T127</f>
        <v>0.32977456237522429</v>
      </c>
      <c r="AC123" s="5">
        <f>(H123*$T$3)/T128</f>
        <v>5.4310209225389228</v>
      </c>
      <c r="AD123" s="5">
        <f>(I123*$T$3)/T129</f>
        <v>3.4569016235163952</v>
      </c>
      <c r="AG123" s="5">
        <f/>
        <v>4.0804575300734323</v>
      </c>
      <c r="AH123" s="5">
        <f/>
        <v>1</v>
      </c>
      <c r="AI123" s="5">
        <f/>
        <v>0.18496184820818201</v>
      </c>
      <c r="AJ123" s="5">
        <f/>
        <v>5.677386116951646</v>
      </c>
      <c r="AK123" s="5">
        <f/>
        <v>0.96575459891352489</v>
      </c>
      <c r="AL123" s="5">
        <f/>
        <v>3.0323745797657349</v>
      </c>
      <c r="AM123" s="5">
        <f/>
        <v>0.18412744385682001</v>
      </c>
      <c r="AN123" s="5">
        <f/>
        <v>0.28927638356766128</v>
      </c>
      <c r="AR123" s="5">
        <f t="shared" si="82"/>
        <v>4.3255280871445176</v>
      </c>
      <c r="AS123" s="5">
        <f t="shared" si="83"/>
        <v>2</v>
      </c>
      <c r="AT123" s="5">
        <f t="shared" si="84"/>
        <v>5.5914822181520396</v>
      </c>
      <c r="AU123" s="5">
        <f t="shared" si="85"/>
        <v>5.8535235117668734</v>
      </c>
      <c r="AV123" s="5">
        <f t="shared" si="86"/>
        <v>2.0012143328096941</v>
      </c>
      <c r="AW123" s="5">
        <f t="shared" si="87"/>
        <v>3.3621491421409591</v>
      </c>
      <c r="AX123" s="5">
        <f t="shared" si="88"/>
        <v>5.6151483663957427</v>
      </c>
      <c r="AY123" s="5">
        <f t="shared" si="89"/>
        <v>3.7461780070840565</v>
      </c>
    </row>
    <row r="124">
      <c r="B124" s="4">
        <v>7</v>
      </c>
      <c r="C124" s="4">
        <v>0.25</v>
      </c>
      <c r="D124" s="4">
        <v>1</v>
      </c>
      <c r="E124" s="4">
        <v>1</v>
      </c>
      <c r="F124" s="4">
        <v>1</v>
      </c>
      <c r="G124" s="4">
        <v>1</v>
      </c>
      <c r="H124" s="4">
        <v>0.5</v>
      </c>
      <c r="I124" s="4">
        <v>0.33333333333333331</v>
      </c>
      <c r="L124" s="5">
        <f t="shared" si="73"/>
        <v>0.33399602385685884</v>
      </c>
      <c r="M124" s="5">
        <f t="shared" si="74"/>
        <v>0.011933174224343675</v>
      </c>
      <c r="N124" s="5">
        <f t="shared" si="75"/>
        <v>0.049295774647887328</v>
      </c>
      <c r="O124" s="5">
        <f t="shared" si="76"/>
        <v>0.083333333333333315</v>
      </c>
      <c r="P124" s="5">
        <f t="shared" si="77"/>
        <v>0.057129902516436182</v>
      </c>
      <c r="Q124" s="5">
        <f t="shared" si="78"/>
        <v>0.046927374301675977</v>
      </c>
      <c r="R124" s="5">
        <f t="shared" si="79"/>
        <v>0.045569620253164557</v>
      </c>
      <c r="S124" s="6">
        <f t="shared" si="80"/>
        <v>0.020408163265306124</v>
      </c>
      <c r="T124" s="5">
        <f t="shared" si="81"/>
        <v>0.08107417079987575</v>
      </c>
      <c r="W124" s="5">
        <f>1/Y122</f>
        <v>3.6061767994183209</v>
      </c>
      <c r="X124" s="5">
        <f>1/Y123</f>
        <v>0.18496184820818204</v>
      </c>
      <c r="Y124" s="5">
        <v>1</v>
      </c>
      <c r="Z124" s="5">
        <f>(E124*$T$4)/T125</f>
        <v>1.0600999506830535</v>
      </c>
      <c r="AA124" s="5">
        <f>(F124*$T$4)/T126</f>
        <v>1.0386690969182752</v>
      </c>
      <c r="AB124" s="5">
        <f>(G124*$T$4)/T127</f>
        <v>0.9923900534501342</v>
      </c>
      <c r="AC124" s="5">
        <f>(H124*$T$4)/T128</f>
        <v>0.54478541388876611</v>
      </c>
      <c r="AD124" s="5">
        <f>(I124*$T$4)/T129</f>
        <v>0.57793602363185326</v>
      </c>
      <c r="AG124" s="5">
        <f/>
        <v>0.27730198923172628</v>
      </c>
      <c r="AH124" s="5">
        <f/>
        <v>5.4065203699438573</v>
      </c>
      <c r="AI124" s="5">
        <f/>
        <v>1</v>
      </c>
      <c r="AJ124" s="5">
        <f/>
        <v>0.94330727905012224</v>
      </c>
      <c r="AK124" s="5">
        <f/>
        <v>0.9627705329512487</v>
      </c>
      <c r="AL124" s="5">
        <f/>
        <v>1.0076683019175869</v>
      </c>
      <c r="AM124" s="5">
        <f/>
        <v>1.8355851212348711</v>
      </c>
      <c r="AN124" s="5">
        <f/>
        <v>1.7302953252780839</v>
      </c>
      <c r="AR124" s="5">
        <f t="shared" si="82"/>
        <v>3.8834787886500473</v>
      </c>
      <c r="AS124" s="5">
        <f t="shared" si="83"/>
        <v>5.5914822181520396</v>
      </c>
      <c r="AT124" s="5">
        <f t="shared" si="84"/>
        <v>2</v>
      </c>
      <c r="AU124" s="5">
        <f t="shared" si="85"/>
        <v>2.0034072297331758</v>
      </c>
      <c r="AV124" s="5">
        <f t="shared" si="86"/>
        <v>2.0014396298695241</v>
      </c>
      <c r="AW124" s="5">
        <f t="shared" si="87"/>
        <v>2.0000583553677211</v>
      </c>
      <c r="AX124" s="5">
        <f t="shared" si="88"/>
        <v>2.3803705351236371</v>
      </c>
      <c r="AY124" s="5">
        <f t="shared" si="89"/>
        <v>2.3082313489099371</v>
      </c>
    </row>
    <row r="125" ht="18.75" customHeight="1">
      <c r="B125" s="4">
        <v>0.25</v>
      </c>
      <c r="C125" s="4">
        <v>6</v>
      </c>
      <c r="D125" s="4">
        <v>1</v>
      </c>
      <c r="E125" s="4">
        <v>1</v>
      </c>
      <c r="F125" s="4">
        <v>0.25</v>
      </c>
      <c r="G125" s="4">
        <v>3</v>
      </c>
      <c r="H125" s="4">
        <v>2</v>
      </c>
      <c r="I125" s="4">
        <v>1</v>
      </c>
      <c r="L125" s="5">
        <f t="shared" si="73"/>
        <v>0.011928429423459242</v>
      </c>
      <c r="M125" s="5">
        <f t="shared" si="74"/>
        <v>0.28639618138424822</v>
      </c>
      <c r="N125" s="5">
        <f t="shared" si="75"/>
        <v>0.049295774647887328</v>
      </c>
      <c r="O125" s="5">
        <f t="shared" si="76"/>
        <v>0.083333333333333315</v>
      </c>
      <c r="P125" s="5">
        <f t="shared" si="77"/>
        <v>0.014282475629109045</v>
      </c>
      <c r="Q125" s="5">
        <f t="shared" si="78"/>
        <v>0.14078212290502792</v>
      </c>
      <c r="R125" s="5">
        <f t="shared" si="79"/>
        <v>0.18227848101265823</v>
      </c>
      <c r="S125" s="6">
        <f t="shared" si="80"/>
        <v>0.061224489795918373</v>
      </c>
      <c r="T125" s="5">
        <f t="shared" si="81"/>
        <v>0.1036901610164552</v>
      </c>
      <c r="W125" s="5">
        <f>1/Z122</f>
        <v>0.16471912134652017</v>
      </c>
      <c r="X125" s="5">
        <f>1/Z123</f>
        <v>5.6773861169516433</v>
      </c>
      <c r="Y125" s="5">
        <f>1/Z124</f>
        <v>0.94330727905012224</v>
      </c>
      <c r="Z125" s="5">
        <v>1</v>
      </c>
      <c r="AA125" s="5">
        <f>(F125*$T$5)/T126</f>
        <v>0.24494602991185646</v>
      </c>
      <c r="AB125" s="5">
        <f>(G125*$T$5)/T127</f>
        <v>2.8083862832293538</v>
      </c>
      <c r="AC125" s="5">
        <f>(H125*$T$5)/T128</f>
        <v>2.0556001857664263</v>
      </c>
      <c r="AD125" s="5">
        <f>(I125*$T$5)/T129</f>
        <v>1.6355137737516319</v>
      </c>
      <c r="AF125" s="2" t="s">
        <v>4</v>
      </c>
      <c r="AG125" s="5">
        <f/>
        <v>6.0709405916286832</v>
      </c>
      <c r="AH125" s="5">
        <f/>
        <v>0.17613739481522689</v>
      </c>
      <c r="AI125" s="5">
        <f/>
        <v>1.060099950683054</v>
      </c>
      <c r="AJ125" s="5">
        <f/>
        <v>1</v>
      </c>
      <c r="AK125" s="5">
        <f/>
        <v>4.0825319780028639</v>
      </c>
      <c r="AL125" s="5">
        <f/>
        <v>0.35607637238923678</v>
      </c>
      <c r="AM125" s="5">
        <f/>
        <v>0.48647592412390839</v>
      </c>
      <c r="AN125" s="5">
        <f/>
        <v>0.61142866299813836</v>
      </c>
      <c r="AP125" s="8" t="s">
        <v>5</v>
      </c>
      <c r="AR125" s="13">
        <f t="shared" si="82"/>
        <v>6.2356597129752034</v>
      </c>
      <c r="AS125" s="5">
        <f t="shared" si="83"/>
        <v>5.8535235117668698</v>
      </c>
      <c r="AT125" s="5">
        <f t="shared" si="84"/>
        <v>2.0034072297331762</v>
      </c>
      <c r="AU125" s="5">
        <f t="shared" si="85"/>
        <v>2</v>
      </c>
      <c r="AV125" s="5">
        <f t="shared" si="86"/>
        <v>4.3274780079147206</v>
      </c>
      <c r="AW125" s="5">
        <f t="shared" si="87"/>
        <v>3.1644626556185904</v>
      </c>
      <c r="AX125" s="5">
        <f t="shared" si="88"/>
        <v>2.5420761098903348</v>
      </c>
      <c r="AY125" s="5">
        <f t="shared" si="89"/>
        <v>2.2469424367497703</v>
      </c>
    </row>
    <row r="126">
      <c r="B126" s="4">
        <v>1</v>
      </c>
      <c r="C126" s="4">
        <v>1</v>
      </c>
      <c r="D126" s="4">
        <v>1</v>
      </c>
      <c r="E126" s="4">
        <v>4</v>
      </c>
      <c r="F126" s="4">
        <v>1</v>
      </c>
      <c r="G126" s="4">
        <v>0.14285714285714279</v>
      </c>
      <c r="H126" s="4">
        <v>2</v>
      </c>
      <c r="I126" s="4">
        <v>2</v>
      </c>
      <c r="L126" s="5">
        <f t="shared" si="73"/>
        <v>0.04771371769383697</v>
      </c>
      <c r="M126" s="5">
        <f t="shared" si="74"/>
        <v>0.0477326968973747</v>
      </c>
      <c r="N126" s="5">
        <f t="shared" si="75"/>
        <v>0.049295774647887328</v>
      </c>
      <c r="O126" s="5">
        <f t="shared" si="76"/>
        <v>0.33333333333333326</v>
      </c>
      <c r="P126" s="5">
        <f t="shared" si="77"/>
        <v>0.057129902516436182</v>
      </c>
      <c r="Q126" s="5">
        <f t="shared" si="78"/>
        <v>0.0067039106145251361</v>
      </c>
      <c r="R126" s="5">
        <f t="shared" si="79"/>
        <v>0.18227848101265823</v>
      </c>
      <c r="S126" s="6">
        <f t="shared" si="80"/>
        <v>0.12244897959183675</v>
      </c>
      <c r="T126" s="5">
        <f t="shared" si="81"/>
        <v>0.10582959953848607</v>
      </c>
      <c r="W126" s="5">
        <f>1/AA122</f>
        <v>0.67247108028570279</v>
      </c>
      <c r="X126" s="5">
        <f>1/AA123</f>
        <v>0.96575459891352489</v>
      </c>
      <c r="Y126" s="5">
        <f>1/AA124</f>
        <v>0.9627705329512487</v>
      </c>
      <c r="Z126" s="5">
        <f>1/AA125</f>
        <v>4.0825319780028639</v>
      </c>
      <c r="AA126" s="5">
        <v>1</v>
      </c>
      <c r="AB126" s="5">
        <f>(G126*$T$6)/T127</f>
        <v>0.23951152940190767</v>
      </c>
      <c r="AC126" s="5">
        <f>(H126*$T$6)/T128</f>
        <v>3.6815230485594279</v>
      </c>
      <c r="AD126" s="5">
        <f>(I126*$T$6)/T129</f>
        <v>5.8583198191899921</v>
      </c>
      <c r="AG126" s="5">
        <f/>
        <v>1.4870527957501829</v>
      </c>
      <c r="AH126" s="5">
        <f/>
        <v>1.0354597338961691</v>
      </c>
      <c r="AI126" s="5">
        <f/>
        <v>1.038669096918275</v>
      </c>
      <c r="AJ126" s="5">
        <f/>
        <v>0.24494602991185649</v>
      </c>
      <c r="AK126" s="5">
        <f/>
        <v>1</v>
      </c>
      <c r="AL126" s="5">
        <f/>
        <v>4.1751643542886363</v>
      </c>
      <c r="AM126" s="5">
        <f/>
        <v>0.27162671177389419</v>
      </c>
      <c r="AN126" s="5">
        <f/>
        <v>0.17069740657113289</v>
      </c>
      <c r="AR126" s="5">
        <f t="shared" si="82"/>
        <v>2.1595238760358857</v>
      </c>
      <c r="AS126" s="5">
        <f t="shared" si="83"/>
        <v>2.0012143328096941</v>
      </c>
      <c r="AT126" s="5">
        <f t="shared" si="84"/>
        <v>2.0014396298695236</v>
      </c>
      <c r="AU126" s="5">
        <f t="shared" si="85"/>
        <v>4.3274780079147206</v>
      </c>
      <c r="AV126" s="5">
        <f t="shared" si="86"/>
        <v>2</v>
      </c>
      <c r="AW126" s="5">
        <f t="shared" si="87"/>
        <v>4.4146758836905438</v>
      </c>
      <c r="AX126" s="5">
        <f t="shared" si="88"/>
        <v>3.9531497603333223</v>
      </c>
      <c r="AY126" s="5">
        <f t="shared" si="89"/>
        <v>6.029017225761125</v>
      </c>
    </row>
    <row r="127">
      <c r="B127" s="4">
        <v>3</v>
      </c>
      <c r="C127" s="4">
        <v>1</v>
      </c>
      <c r="D127" s="4">
        <v>0.14285714285714279</v>
      </c>
      <c r="E127" s="4">
        <v>0.33333333333333331</v>
      </c>
      <c r="F127" s="4">
        <v>7</v>
      </c>
      <c r="G127" s="4">
        <v>1</v>
      </c>
      <c r="H127" s="4">
        <v>1</v>
      </c>
      <c r="I127" s="4">
        <v>2</v>
      </c>
      <c r="L127" s="5">
        <f t="shared" si="73"/>
        <v>0.14314115308151093</v>
      </c>
      <c r="M127" s="5">
        <f t="shared" si="74"/>
        <v>0.0477326968973747</v>
      </c>
      <c r="N127" s="5">
        <f t="shared" si="75"/>
        <v>0.0070422535211267581</v>
      </c>
      <c r="O127" s="5">
        <f t="shared" si="76"/>
        <v>0.027777777777777773</v>
      </c>
      <c r="P127" s="5">
        <f t="shared" si="77"/>
        <v>0.39990931761505327</v>
      </c>
      <c r="Q127" s="5">
        <f t="shared" si="78"/>
        <v>0.046927374301675977</v>
      </c>
      <c r="R127" s="5">
        <f t="shared" si="79"/>
        <v>0.091139240506329114</v>
      </c>
      <c r="S127" s="6">
        <f t="shared" si="80"/>
        <v>0.12244897959183675</v>
      </c>
      <c r="T127" s="5">
        <f t="shared" si="81"/>
        <v>0.11076484916158566</v>
      </c>
      <c r="W127" s="5">
        <f>1/AB122</f>
        <v>2.1114931389196103</v>
      </c>
      <c r="X127" s="5">
        <f>1/AB123</f>
        <v>3.0323745797657353</v>
      </c>
      <c r="Y127" s="5">
        <f>1/AB124</f>
        <v>1.0076683019175869</v>
      </c>
      <c r="Z127" s="5">
        <f>1/AB125</f>
        <v>0.35607637238923678</v>
      </c>
      <c r="AA127" s="5">
        <f>1/AB126</f>
        <v>4.1751643542886381</v>
      </c>
      <c r="AB127" s="5">
        <v>1</v>
      </c>
      <c r="AC127" s="5">
        <f>(H127*$T$7)/T128</f>
        <v>1.1158333297203704</v>
      </c>
      <c r="AD127" s="5">
        <f>(I127*$T$7)/T129</f>
        <v>3.5511979277008656</v>
      </c>
      <c r="AG127" s="5">
        <f/>
        <v>0.47359850788417479</v>
      </c>
      <c r="AH127" s="5">
        <f/>
        <v>0.32977456237522429</v>
      </c>
      <c r="AI127" s="5">
        <f/>
        <v>0.9923900534501342</v>
      </c>
      <c r="AJ127" s="5">
        <f/>
        <v>2.8083862832293538</v>
      </c>
      <c r="AK127" s="5">
        <f/>
        <v>0.23951152940190781</v>
      </c>
      <c r="AL127" s="5">
        <f/>
        <v>1</v>
      </c>
      <c r="AM127" s="5">
        <f/>
        <v>0.89619119035510575</v>
      </c>
      <c r="AN127" s="5">
        <f/>
        <v>0.28159511814297128</v>
      </c>
      <c r="AR127" s="5">
        <f t="shared" si="82"/>
        <v>2.585091646803785</v>
      </c>
      <c r="AS127" s="5">
        <f t="shared" si="83"/>
        <v>3.3621491421409595</v>
      </c>
      <c r="AT127" s="5">
        <f t="shared" si="84"/>
        <v>2.0000583553677211</v>
      </c>
      <c r="AU127" s="5">
        <f t="shared" si="85"/>
        <v>3.1644626556185904</v>
      </c>
      <c r="AV127" s="5">
        <f t="shared" si="86"/>
        <v>4.4146758836905455</v>
      </c>
      <c r="AW127" s="5">
        <f t="shared" si="87"/>
        <v>2</v>
      </c>
      <c r="AX127" s="5">
        <f t="shared" si="88"/>
        <v>2.0120245200754763</v>
      </c>
      <c r="AY127" s="5">
        <f t="shared" si="89"/>
        <v>3.8327930458438368</v>
      </c>
    </row>
    <row r="128">
      <c r="B128" s="4">
        <v>9</v>
      </c>
      <c r="C128" s="4">
        <v>0.20000000000000001</v>
      </c>
      <c r="D128" s="4">
        <v>2</v>
      </c>
      <c r="E128" s="4">
        <v>0.5</v>
      </c>
      <c r="F128" s="4">
        <v>0.5</v>
      </c>
      <c r="G128" s="4">
        <v>1</v>
      </c>
      <c r="H128" s="4">
        <v>1</v>
      </c>
      <c r="I128" s="4">
        <v>1</v>
      </c>
      <c r="L128" s="5">
        <f t="shared" si="73"/>
        <v>0.42942345924453273</v>
      </c>
      <c r="M128" s="5">
        <f t="shared" si="74"/>
        <v>0.0095465393794749408</v>
      </c>
      <c r="N128" s="5">
        <f t="shared" si="75"/>
        <v>0.098591549295774655</v>
      </c>
      <c r="O128" s="5">
        <f t="shared" si="76"/>
        <v>0.041666666666666657</v>
      </c>
      <c r="P128" s="5">
        <f t="shared" si="77"/>
        <v>0.028564951258218091</v>
      </c>
      <c r="Q128" s="5">
        <f t="shared" si="78"/>
        <v>0.046927374301675977</v>
      </c>
      <c r="R128" s="5">
        <f t="shared" si="79"/>
        <v>0.091139240506329114</v>
      </c>
      <c r="S128" s="6">
        <f t="shared" si="80"/>
        <v>0.061224489795918373</v>
      </c>
      <c r="T128" s="5">
        <f t="shared" si="81"/>
        <v>0.1008855338060738</v>
      </c>
      <c r="W128" s="5">
        <f>1/AC122</f>
        <v>5.7694958480107159</v>
      </c>
      <c r="X128" s="5">
        <f>1/AC123</f>
        <v>0.18412744385681995</v>
      </c>
      <c r="Y128" s="5">
        <f>1/AC124</f>
        <v>1.8355851212348708</v>
      </c>
      <c r="Z128" s="5">
        <f>1/AC125</f>
        <v>0.48647592412390839</v>
      </c>
      <c r="AA128" s="5">
        <f>1/AC126</f>
        <v>0.27162671177389419</v>
      </c>
      <c r="AB128" s="5">
        <f>1/AC127</f>
        <v>0.89619119035510575</v>
      </c>
      <c r="AC128" s="5">
        <v>1</v>
      </c>
      <c r="AD128" s="5">
        <f>(I128*T128)/T129</f>
        <v>1.5912761490064118</v>
      </c>
      <c r="AG128" s="5">
        <f/>
        <v>0.17332536955456751</v>
      </c>
      <c r="AH128" s="5">
        <f/>
        <v>5.4310209225389228</v>
      </c>
      <c r="AI128" s="5">
        <f/>
        <v>0.54478541388876611</v>
      </c>
      <c r="AJ128" s="5">
        <f/>
        <v>2.0556001857664259</v>
      </c>
      <c r="AK128" s="5">
        <f/>
        <v>3.6815230485594279</v>
      </c>
      <c r="AL128" s="5">
        <f/>
        <v>1.11583332972037</v>
      </c>
      <c r="AM128" s="5">
        <f/>
        <v>1</v>
      </c>
      <c r="AN128" s="5">
        <f/>
        <v>0.62842643662094544</v>
      </c>
      <c r="AR128" s="5">
        <f t="shared" si="82"/>
        <v>5.9428212175652835</v>
      </c>
      <c r="AS128" s="5">
        <f t="shared" si="83"/>
        <v>5.6151483663957427</v>
      </c>
      <c r="AT128" s="5">
        <f t="shared" si="84"/>
        <v>2.3803705351236371</v>
      </c>
      <c r="AU128" s="5">
        <f t="shared" si="85"/>
        <v>2.5420761098903344</v>
      </c>
      <c r="AV128" s="5">
        <f t="shared" si="86"/>
        <v>3.9531497603333223</v>
      </c>
      <c r="AW128" s="5">
        <f t="shared" si="87"/>
        <v>2.0120245200754758</v>
      </c>
      <c r="AX128" s="5">
        <f t="shared" si="88"/>
        <v>2</v>
      </c>
      <c r="AY128" s="5">
        <f t="shared" si="89"/>
        <v>2.2197025856273571</v>
      </c>
    </row>
    <row r="129">
      <c r="B129" s="10">
        <v>1</v>
      </c>
      <c r="C129" s="10">
        <v>0.5</v>
      </c>
      <c r="D129" s="10">
        <v>3</v>
      </c>
      <c r="E129" s="10">
        <v>1</v>
      </c>
      <c r="F129" s="10">
        <v>0.5</v>
      </c>
      <c r="G129" s="10">
        <v>0.5</v>
      </c>
      <c r="H129" s="10">
        <v>1</v>
      </c>
      <c r="I129" s="10">
        <v>1</v>
      </c>
      <c r="L129" s="5">
        <f t="shared" si="73"/>
        <v>0.04771371769383697</v>
      </c>
      <c r="M129" s="5">
        <f t="shared" si="74"/>
        <v>0.02386634844868735</v>
      </c>
      <c r="N129" s="5">
        <f t="shared" si="75"/>
        <v>0.14788732394366197</v>
      </c>
      <c r="O129" s="5">
        <f t="shared" si="76"/>
        <v>0.083333333333333315</v>
      </c>
      <c r="P129" s="5">
        <f t="shared" si="77"/>
        <v>0.028564951258218091</v>
      </c>
      <c r="Q129" s="5">
        <f t="shared" si="78"/>
        <v>0.023463687150837988</v>
      </c>
      <c r="R129" s="5">
        <f t="shared" si="79"/>
        <v>0.091139240506329114</v>
      </c>
      <c r="S129" s="6">
        <f t="shared" si="80"/>
        <v>0.061224489795918373</v>
      </c>
      <c r="T129" s="5">
        <f t="shared" si="81"/>
        <v>0.063399136516352886</v>
      </c>
      <c r="W129" s="5">
        <f>1/AD122</f>
        <v>0.40285596854052369</v>
      </c>
      <c r="X129" s="5">
        <f>1/AD123</f>
        <v>0.28927638356766133</v>
      </c>
      <c r="Y129" s="5">
        <f>1/AD124</f>
        <v>1.7302953252780839</v>
      </c>
      <c r="Z129" s="5">
        <f>1/AD125</f>
        <v>0.61142866299813836</v>
      </c>
      <c r="AA129" s="5">
        <f>1/AD126</f>
        <v>0.17069740657113291</v>
      </c>
      <c r="AB129" s="5">
        <f>1/AD127</f>
        <v>0.28159511814297128</v>
      </c>
      <c r="AC129" s="5">
        <f>1/AD128</f>
        <v>0.62842643662094544</v>
      </c>
      <c r="AD129" s="5">
        <v>1</v>
      </c>
      <c r="AG129" s="5">
        <f/>
        <v>2.4822767393091478</v>
      </c>
      <c r="AH129" s="5">
        <f/>
        <v>3.4569016235163952</v>
      </c>
      <c r="AI129" s="5">
        <f/>
        <v>0.57793602363185326</v>
      </c>
      <c r="AJ129" s="5">
        <f/>
        <v>1.6355137737516321</v>
      </c>
      <c r="AK129" s="5">
        <f/>
        <v>5.8583198191899921</v>
      </c>
      <c r="AL129" s="5">
        <f/>
        <v>3.5511979277008661</v>
      </c>
      <c r="AM129" s="5">
        <f/>
        <v>1.591276149006412</v>
      </c>
      <c r="AN129" s="5">
        <f/>
        <v>1</v>
      </c>
      <c r="AR129" s="5">
        <f t="shared" si="82"/>
        <v>2.8851327078496714</v>
      </c>
      <c r="AS129" s="5">
        <f t="shared" si="83"/>
        <v>3.7461780070840565</v>
      </c>
      <c r="AT129" s="5">
        <f t="shared" si="84"/>
        <v>2.3082313489099371</v>
      </c>
      <c r="AU129" s="5">
        <f t="shared" si="85"/>
        <v>2.2469424367497703</v>
      </c>
      <c r="AV129" s="5">
        <f t="shared" si="86"/>
        <v>6.029017225761125</v>
      </c>
      <c r="AW129" s="5">
        <f t="shared" si="87"/>
        <v>3.8327930458438373</v>
      </c>
      <c r="AX129" s="5">
        <f t="shared" si="88"/>
        <v>2.2197025856273576</v>
      </c>
      <c r="AY129" s="5">
        <f t="shared" si="89"/>
        <v>2</v>
      </c>
    </row>
    <row r="130">
      <c r="A130" s="2" t="s">
        <v>6</v>
      </c>
      <c r="B130" s="11">
        <f>SUM(B122:B129)</f>
        <v>22.583333333333336</v>
      </c>
      <c r="C130" s="11">
        <f>SUM(C122:C129)</f>
        <v>12.949999999999999</v>
      </c>
      <c r="D130" s="11">
        <f>SUM(D122:D129)</f>
        <v>12.285714285714285</v>
      </c>
      <c r="E130" s="11">
        <f>SUM(E122:E129)</f>
        <v>12.000000000000002</v>
      </c>
      <c r="F130" s="11">
        <f>SUM(F122:F129)</f>
        <v>12.25</v>
      </c>
      <c r="G130" s="11">
        <f>SUM(G122:G129)</f>
        <v>7.3095238095238084</v>
      </c>
      <c r="H130" s="11">
        <f>SUM(H122:H129)</f>
        <v>12.611111111111111</v>
      </c>
      <c r="I130" s="11">
        <f>SUM(I122:I129)</f>
        <v>10.333333333333334</v>
      </c>
    </row>
    <row r="132">
      <c r="B132" s="2" t="s">
        <v>7</v>
      </c>
      <c r="C132" s="2">
        <f>B130*T122+C130*T123+D130*T124+E130*T125+F130*T126+G130*T127+H130*T128+I130*T129</f>
        <v>9.678776879151</v>
      </c>
    </row>
    <row r="133">
      <c r="B133" s="2" t="s">
        <v>8</v>
      </c>
      <c r="C133" s="2">
        <f>(C132-8)/7</f>
        <v>0.23982526845014288</v>
      </c>
    </row>
    <row r="134">
      <c r="B134" s="2" t="s">
        <v>9</v>
      </c>
      <c r="C134" s="2">
        <f>C133/1.41</f>
        <v>0.17008884287244178</v>
      </c>
    </row>
    <row r="138">
      <c r="A138" s="2" t="s">
        <v>25</v>
      </c>
    </row>
    <row r="139">
      <c r="T139" s="12" t="s">
        <v>3</v>
      </c>
    </row>
    <row r="140">
      <c r="B140" s="4">
        <v>1</v>
      </c>
      <c r="C140" s="4">
        <v>3</v>
      </c>
      <c r="D140" s="4">
        <v>0.14285714285714279</v>
      </c>
      <c r="E140" s="4">
        <v>1</v>
      </c>
      <c r="F140" s="4">
        <v>1</v>
      </c>
      <c r="G140" s="4">
        <v>0.33333333333333331</v>
      </c>
      <c r="H140" s="4">
        <v>0.1111111111111111</v>
      </c>
      <c r="I140" s="4">
        <v>1</v>
      </c>
      <c r="L140" s="5">
        <f t="shared" si="73"/>
        <v>0.04771371769383697</v>
      </c>
      <c r="M140" s="5">
        <f t="shared" si="74"/>
        <v>0.14319809069212411</v>
      </c>
      <c r="N140" s="5">
        <f t="shared" si="75"/>
        <v>0.0070422535211267581</v>
      </c>
      <c r="O140" s="5">
        <f t="shared" si="76"/>
        <v>0.083333333333333315</v>
      </c>
      <c r="P140" s="5">
        <f t="shared" si="77"/>
        <v>0.057129902516436182</v>
      </c>
      <c r="Q140" s="5">
        <f t="shared" si="78"/>
        <v>0.015642458100558657</v>
      </c>
      <c r="R140" s="5">
        <f t="shared" si="79"/>
        <v>0.010126582278481013</v>
      </c>
      <c r="S140" s="6">
        <f t="shared" si="80"/>
        <v>0.061224489795918373</v>
      </c>
      <c r="T140" s="5">
        <f t="shared" si="81"/>
        <v>0.053176353491476917</v>
      </c>
      <c r="W140" s="5">
        <v>1</v>
      </c>
      <c r="X140" s="5">
        <f>(C140*$T$2)/T141</f>
        <v>4.0804575300734323</v>
      </c>
      <c r="Y140" s="5">
        <f>(D140*$T$2)/T142</f>
        <v>0.27730198923172616</v>
      </c>
      <c r="Z140" s="5">
        <f>(E140*$T$2)/T143</f>
        <v>1.4549682728283098</v>
      </c>
      <c r="AA140" s="5">
        <f>(F140*$T$2)/T144</f>
        <v>1.4870527957501829</v>
      </c>
      <c r="AB140" s="5">
        <f>(G140*$T$2)/T145</f>
        <v>0.47359850788417479</v>
      </c>
      <c r="AC140" s="5">
        <f>(H140*$T$2)/T146</f>
        <v>0.17332536955456748</v>
      </c>
      <c r="AD140" s="5">
        <f>(I140*$T$2)/T147</f>
        <v>2.4822767393091483</v>
      </c>
      <c r="AG140" s="5">
        <f t="array" ref="AG140:AN147">TRANSPOSE(W140:AD147)</f>
        <v>1</v>
      </c>
      <c r="AH140" s="5">
        <f/>
        <v>0.2450705570710851</v>
      </c>
      <c r="AI140" s="5">
        <f/>
        <v>3.6061767994183209</v>
      </c>
      <c r="AJ140" s="5">
        <f/>
        <v>0.68730021037235545</v>
      </c>
      <c r="AK140" s="5">
        <f/>
        <v>0.67247108028570279</v>
      </c>
      <c r="AL140" s="5">
        <f/>
        <v>2.1114931389196103</v>
      </c>
      <c r="AM140" s="5">
        <f/>
        <v>5.7694958480107159</v>
      </c>
      <c r="AN140" s="5">
        <f/>
        <v>0.40285596854052369</v>
      </c>
      <c r="AR140" s="5">
        <f t="shared" si="82"/>
        <v>2</v>
      </c>
      <c r="AS140" s="5">
        <f t="shared" si="83"/>
        <v>4.3255280871445176</v>
      </c>
      <c r="AT140" s="5">
        <f t="shared" si="84"/>
        <v>3.8834787886500473</v>
      </c>
      <c r="AU140" s="5">
        <f t="shared" si="85"/>
        <v>2.1422684832006653</v>
      </c>
      <c r="AV140" s="5">
        <f t="shared" si="86"/>
        <v>2.1595238760358857</v>
      </c>
      <c r="AW140" s="5">
        <f t="shared" si="87"/>
        <v>2.585091646803785</v>
      </c>
      <c r="AX140" s="5">
        <f t="shared" si="88"/>
        <v>5.9428212175652835</v>
      </c>
      <c r="AY140" s="5">
        <f t="shared" si="89"/>
        <v>2.8851327078496718</v>
      </c>
    </row>
    <row r="141">
      <c r="B141" s="4">
        <v>0.33333333333333331</v>
      </c>
      <c r="C141" s="4">
        <v>1</v>
      </c>
      <c r="D141" s="4">
        <v>4</v>
      </c>
      <c r="E141" s="4">
        <v>0.16666666666666671</v>
      </c>
      <c r="F141" s="4">
        <v>1</v>
      </c>
      <c r="G141" s="4">
        <v>0.33333333333333331</v>
      </c>
      <c r="H141" s="4">
        <v>5</v>
      </c>
      <c r="I141" s="4">
        <v>2</v>
      </c>
      <c r="L141" s="5">
        <f t="shared" si="73"/>
        <v>0.015904572564612324</v>
      </c>
      <c r="M141" s="5">
        <f t="shared" si="74"/>
        <v>0.0477326968973747</v>
      </c>
      <c r="N141" s="5">
        <f t="shared" si="75"/>
        <v>0.19718309859154931</v>
      </c>
      <c r="O141" s="5">
        <f t="shared" si="76"/>
        <v>0.01388888888888889</v>
      </c>
      <c r="P141" s="5">
        <f t="shared" si="77"/>
        <v>0.057129902516436182</v>
      </c>
      <c r="Q141" s="5">
        <f t="shared" si="78"/>
        <v>0.015642458100558657</v>
      </c>
      <c r="R141" s="5">
        <f t="shared" si="79"/>
        <v>0.45569620253164561</v>
      </c>
      <c r="S141" s="6">
        <f t="shared" si="80"/>
        <v>0.12244897959183675</v>
      </c>
      <c r="T141" s="5">
        <f t="shared" si="81"/>
        <v>0.11570334996036281</v>
      </c>
      <c r="W141" s="5">
        <f>1/X140</f>
        <v>0.2450705570710851</v>
      </c>
      <c r="X141" s="5">
        <v>1</v>
      </c>
      <c r="Y141" s="5">
        <f>(D141*$T$3)/T142</f>
        <v>5.4065203699438573</v>
      </c>
      <c r="Z141" s="5">
        <f>(E141*$T$3)/T143</f>
        <v>0.16885312399081592</v>
      </c>
      <c r="AA141" s="5">
        <f>(F141*$T$3)/T144</f>
        <v>1.0354597338961691</v>
      </c>
      <c r="AB141" s="5">
        <f>(G141*$T$3)/T145</f>
        <v>0.32977456237522429</v>
      </c>
      <c r="AC141" s="5">
        <f>(H141*$T$3)/T146</f>
        <v>5.4310209225389228</v>
      </c>
      <c r="AD141" s="5">
        <f>(I141*$T$3)/T147</f>
        <v>3.4569016235163952</v>
      </c>
      <c r="AG141" s="5">
        <f/>
        <v>4.0804575300734323</v>
      </c>
      <c r="AH141" s="5">
        <f/>
        <v>1</v>
      </c>
      <c r="AI141" s="5">
        <f/>
        <v>0.18496184820818204</v>
      </c>
      <c r="AJ141" s="5">
        <f/>
        <v>5.9223067738704733</v>
      </c>
      <c r="AK141" s="5">
        <f/>
        <v>0.96575459891352489</v>
      </c>
      <c r="AL141" s="5">
        <f/>
        <v>3.0323745797657353</v>
      </c>
      <c r="AM141" s="5">
        <f/>
        <v>0.18412744385681995</v>
      </c>
      <c r="AN141" s="5">
        <f/>
        <v>0.28927638356766133</v>
      </c>
      <c r="AR141" s="5">
        <f t="shared" si="82"/>
        <v>4.3255280871445176</v>
      </c>
      <c r="AS141" s="5">
        <f t="shared" si="83"/>
        <v>2</v>
      </c>
      <c r="AT141" s="5">
        <f t="shared" si="84"/>
        <v>5.5914822181520396</v>
      </c>
      <c r="AU141" s="13">
        <f t="shared" si="85"/>
        <v>6.0911598978612895</v>
      </c>
      <c r="AV141" s="5">
        <f t="shared" si="86"/>
        <v>2.0012143328096941</v>
      </c>
      <c r="AW141" s="5">
        <f t="shared" si="87"/>
        <v>3.3621491421409595</v>
      </c>
      <c r="AX141" s="5">
        <f t="shared" si="88"/>
        <v>5.6151483663957427</v>
      </c>
      <c r="AY141" s="5">
        <f t="shared" si="89"/>
        <v>3.7461780070840565</v>
      </c>
    </row>
    <row r="142">
      <c r="B142" s="4">
        <v>7</v>
      </c>
      <c r="C142" s="4">
        <v>0.25</v>
      </c>
      <c r="D142" s="4">
        <v>1</v>
      </c>
      <c r="E142" s="4">
        <v>1</v>
      </c>
      <c r="F142" s="4">
        <v>1</v>
      </c>
      <c r="G142" s="4">
        <v>1</v>
      </c>
      <c r="H142" s="4">
        <v>0.5</v>
      </c>
      <c r="I142" s="4">
        <v>0.33333333333333331</v>
      </c>
      <c r="L142" s="5">
        <f t="shared" si="73"/>
        <v>0.33399602385685884</v>
      </c>
      <c r="M142" s="5">
        <f t="shared" si="74"/>
        <v>0.011933174224343675</v>
      </c>
      <c r="N142" s="5">
        <f t="shared" si="75"/>
        <v>0.049295774647887328</v>
      </c>
      <c r="O142" s="5">
        <f t="shared" si="76"/>
        <v>0.083333333333333315</v>
      </c>
      <c r="P142" s="5">
        <f t="shared" si="77"/>
        <v>0.057129902516436182</v>
      </c>
      <c r="Q142" s="5">
        <f t="shared" si="78"/>
        <v>0.046927374301675977</v>
      </c>
      <c r="R142" s="5">
        <f t="shared" si="79"/>
        <v>0.045569620253164557</v>
      </c>
      <c r="S142" s="6">
        <f t="shared" si="80"/>
        <v>0.020408163265306124</v>
      </c>
      <c r="T142" s="5">
        <f t="shared" si="81"/>
        <v>0.08107417079987575</v>
      </c>
      <c r="W142" s="5">
        <f>1/Y140</f>
        <v>3.6061767994183209</v>
      </c>
      <c r="X142" s="5">
        <f>1/Y141</f>
        <v>0.18496184820818204</v>
      </c>
      <c r="Y142" s="5">
        <v>1</v>
      </c>
      <c r="Z142" s="5">
        <f>(E142*$T$4)/T143</f>
        <v>1.0162588620271165</v>
      </c>
      <c r="AA142" s="5">
        <f>(F142*$T$4)/T144</f>
        <v>1.0386690969182752</v>
      </c>
      <c r="AB142" s="5">
        <f>(G142*$T$4)/T145</f>
        <v>0.9923900534501342</v>
      </c>
      <c r="AC142" s="5">
        <f>(H142*$T$4)/T146</f>
        <v>0.54478541388876611</v>
      </c>
      <c r="AD142" s="5">
        <f>(I142*$T$4)/T147</f>
        <v>0.57793602363185326</v>
      </c>
      <c r="AG142" s="5">
        <f/>
        <v>0.27730198923172616</v>
      </c>
      <c r="AH142" s="5">
        <f/>
        <v>5.4065203699438573</v>
      </c>
      <c r="AI142" s="5">
        <f/>
        <v>1</v>
      </c>
      <c r="AJ142" s="5">
        <f/>
        <v>0.98400125929068394</v>
      </c>
      <c r="AK142" s="5">
        <f/>
        <v>0.9627705329512487</v>
      </c>
      <c r="AL142" s="5">
        <f/>
        <v>1.0076683019175869</v>
      </c>
      <c r="AM142" s="5">
        <f/>
        <v>1.8355851212348708</v>
      </c>
      <c r="AN142" s="5">
        <f/>
        <v>1.7302953252780839</v>
      </c>
      <c r="AR142" s="5">
        <f t="shared" si="82"/>
        <v>3.8834787886500473</v>
      </c>
      <c r="AS142" s="5">
        <f t="shared" si="83"/>
        <v>5.5914822181520396</v>
      </c>
      <c r="AT142" s="5">
        <f t="shared" si="84"/>
        <v>2</v>
      </c>
      <c r="AU142" s="5">
        <f t="shared" si="85"/>
        <v>2.0002601213178002</v>
      </c>
      <c r="AV142" s="5">
        <f t="shared" si="86"/>
        <v>2.0014396298695241</v>
      </c>
      <c r="AW142" s="5">
        <f t="shared" si="87"/>
        <v>2.0000583553677211</v>
      </c>
      <c r="AX142" s="5">
        <f t="shared" si="88"/>
        <v>2.3803705351236371</v>
      </c>
      <c r="AY142" s="5">
        <f t="shared" si="89"/>
        <v>2.3082313489099371</v>
      </c>
    </row>
    <row r="143" ht="18.75" customHeight="1">
      <c r="B143" s="4">
        <v>1</v>
      </c>
      <c r="C143" s="4">
        <v>6</v>
      </c>
      <c r="D143" s="4">
        <v>1</v>
      </c>
      <c r="E143" s="4">
        <v>1</v>
      </c>
      <c r="F143" s="4">
        <v>0.25</v>
      </c>
      <c r="G143" s="4">
        <v>3</v>
      </c>
      <c r="H143" s="4">
        <v>2</v>
      </c>
      <c r="I143" s="4">
        <v>1</v>
      </c>
      <c r="L143" s="5">
        <f t="shared" si="73"/>
        <v>0.04771371769383697</v>
      </c>
      <c r="M143" s="5">
        <f t="shared" si="74"/>
        <v>0.28639618138424822</v>
      </c>
      <c r="N143" s="5">
        <f t="shared" si="75"/>
        <v>0.049295774647887328</v>
      </c>
      <c r="O143" s="5">
        <f t="shared" si="76"/>
        <v>0.083333333333333315</v>
      </c>
      <c r="P143" s="5">
        <f t="shared" si="77"/>
        <v>0.014282475629109045</v>
      </c>
      <c r="Q143" s="5">
        <f t="shared" si="78"/>
        <v>0.14078212290502792</v>
      </c>
      <c r="R143" s="5">
        <f t="shared" si="79"/>
        <v>0.18227848101265823</v>
      </c>
      <c r="S143" s="6">
        <f t="shared" si="80"/>
        <v>0.061224489795918373</v>
      </c>
      <c r="T143" s="5">
        <f t="shared" si="81"/>
        <v>0.10816332205025242</v>
      </c>
      <c r="W143" s="5">
        <f>1/Z140</f>
        <v>0.68730021037235545</v>
      </c>
      <c r="X143" s="5">
        <f>1/Z141</f>
        <v>5.9223067738704733</v>
      </c>
      <c r="Y143" s="5">
        <f>1/Z142</f>
        <v>0.98400125929068394</v>
      </c>
      <c r="Z143" s="5">
        <v>1</v>
      </c>
      <c r="AA143" s="5">
        <f>(F143*$T$5)/T144</f>
        <v>0.24494602991185646</v>
      </c>
      <c r="AB143" s="5">
        <f>(G143*$T$5)/T145</f>
        <v>2.8083862832293538</v>
      </c>
      <c r="AC143" s="5">
        <f>(H143*$T$5)/T146</f>
        <v>2.0556001857664263</v>
      </c>
      <c r="AD143" s="5">
        <f>(I143*$T$5)/T147</f>
        <v>1.6355137737516319</v>
      </c>
      <c r="AF143" s="2" t="s">
        <v>4</v>
      </c>
      <c r="AG143" s="5">
        <f/>
        <v>1.4549682728283098</v>
      </c>
      <c r="AH143" s="5">
        <f/>
        <v>0.16885312399081592</v>
      </c>
      <c r="AI143" s="5">
        <f/>
        <v>1.0162588620271165</v>
      </c>
      <c r="AJ143" s="5">
        <f/>
        <v>1</v>
      </c>
      <c r="AK143" s="5">
        <f/>
        <v>4.0825319780028639</v>
      </c>
      <c r="AL143" s="5">
        <f/>
        <v>0.35607637238923678</v>
      </c>
      <c r="AM143" s="5">
        <f/>
        <v>0.48647592412390839</v>
      </c>
      <c r="AN143" s="5">
        <f/>
        <v>0.61142866299813836</v>
      </c>
      <c r="AP143" s="8" t="s">
        <v>5</v>
      </c>
      <c r="AR143" s="5">
        <f t="shared" si="82"/>
        <v>2.1422684832006653</v>
      </c>
      <c r="AS143" s="13">
        <f t="shared" si="83"/>
        <v>6.0911598978612895</v>
      </c>
      <c r="AT143" s="5">
        <f t="shared" si="84"/>
        <v>2.0002601213178002</v>
      </c>
      <c r="AU143" s="5">
        <f t="shared" si="85"/>
        <v>2</v>
      </c>
      <c r="AV143" s="5">
        <f t="shared" si="86"/>
        <v>4.3274780079147206</v>
      </c>
      <c r="AW143" s="5">
        <f t="shared" si="87"/>
        <v>3.1644626556185904</v>
      </c>
      <c r="AX143" s="5">
        <f t="shared" si="88"/>
        <v>2.5420761098903348</v>
      </c>
      <c r="AY143" s="5">
        <f t="shared" si="89"/>
        <v>2.2469424367497703</v>
      </c>
    </row>
    <row r="144">
      <c r="B144" s="4">
        <v>1</v>
      </c>
      <c r="C144" s="4">
        <v>1</v>
      </c>
      <c r="D144" s="4">
        <v>1</v>
      </c>
      <c r="E144" s="4">
        <v>4</v>
      </c>
      <c r="F144" s="4">
        <v>1</v>
      </c>
      <c r="G144" s="4">
        <v>0.14285714285714279</v>
      </c>
      <c r="H144" s="4">
        <v>2</v>
      </c>
      <c r="I144" s="4">
        <v>2</v>
      </c>
      <c r="L144" s="5">
        <f t="shared" si="73"/>
        <v>0.04771371769383697</v>
      </c>
      <c r="M144" s="5">
        <f t="shared" si="74"/>
        <v>0.0477326968973747</v>
      </c>
      <c r="N144" s="5">
        <f t="shared" si="75"/>
        <v>0.049295774647887328</v>
      </c>
      <c r="O144" s="5">
        <f t="shared" si="76"/>
        <v>0.33333333333333326</v>
      </c>
      <c r="P144" s="5">
        <f t="shared" si="77"/>
        <v>0.057129902516436182</v>
      </c>
      <c r="Q144" s="5">
        <f t="shared" si="78"/>
        <v>0.0067039106145251361</v>
      </c>
      <c r="R144" s="5">
        <f t="shared" si="79"/>
        <v>0.18227848101265823</v>
      </c>
      <c r="S144" s="6">
        <f t="shared" si="80"/>
        <v>0.12244897959183675</v>
      </c>
      <c r="T144" s="5">
        <f t="shared" si="81"/>
        <v>0.10582959953848607</v>
      </c>
      <c r="W144" s="5">
        <f>1/AA140</f>
        <v>0.67247108028570279</v>
      </c>
      <c r="X144" s="5">
        <f>1/AA141</f>
        <v>0.96575459891352489</v>
      </c>
      <c r="Y144" s="5">
        <f>1/AA142</f>
        <v>0.9627705329512487</v>
      </c>
      <c r="Z144" s="5">
        <f>1/AA143</f>
        <v>4.0825319780028639</v>
      </c>
      <c r="AA144" s="5">
        <v>1</v>
      </c>
      <c r="AB144" s="5">
        <f>(G144*$T$6)/T145</f>
        <v>0.23951152940190767</v>
      </c>
      <c r="AC144" s="5">
        <f>(H144*$T$6)/T146</f>
        <v>3.6815230485594279</v>
      </c>
      <c r="AD144" s="5">
        <f>(I144*$T$6)/T147</f>
        <v>5.8583198191899921</v>
      </c>
      <c r="AG144" s="5">
        <f/>
        <v>1.4870527957501829</v>
      </c>
      <c r="AH144" s="5">
        <f/>
        <v>1.0354597338961691</v>
      </c>
      <c r="AI144" s="5">
        <f/>
        <v>1.0386690969182752</v>
      </c>
      <c r="AJ144" s="5">
        <f/>
        <v>0.24494602991185646</v>
      </c>
      <c r="AK144" s="5">
        <f/>
        <v>1</v>
      </c>
      <c r="AL144" s="5">
        <f/>
        <v>4.1751643542886381</v>
      </c>
      <c r="AM144" s="5">
        <f/>
        <v>0.27162671177389419</v>
      </c>
      <c r="AN144" s="5">
        <f/>
        <v>0.17069740657113291</v>
      </c>
      <c r="AR144" s="5">
        <f t="shared" si="82"/>
        <v>2.1595238760358857</v>
      </c>
      <c r="AS144" s="5">
        <f t="shared" si="83"/>
        <v>2.0012143328096941</v>
      </c>
      <c r="AT144" s="5">
        <f t="shared" si="84"/>
        <v>2.0014396298695241</v>
      </c>
      <c r="AU144" s="5">
        <f t="shared" si="85"/>
        <v>4.3274780079147206</v>
      </c>
      <c r="AV144" s="5">
        <f t="shared" si="86"/>
        <v>2</v>
      </c>
      <c r="AW144" s="5">
        <f t="shared" si="87"/>
        <v>4.4146758836905455</v>
      </c>
      <c r="AX144" s="5">
        <f t="shared" si="88"/>
        <v>3.9531497603333223</v>
      </c>
      <c r="AY144" s="5">
        <f t="shared" si="89"/>
        <v>6.029017225761125</v>
      </c>
    </row>
    <row r="145">
      <c r="B145" s="4">
        <v>3</v>
      </c>
      <c r="C145" s="4">
        <v>1</v>
      </c>
      <c r="D145" s="4">
        <v>0.14285714285714279</v>
      </c>
      <c r="E145" s="4">
        <v>0.33333333333333331</v>
      </c>
      <c r="F145" s="4">
        <v>7</v>
      </c>
      <c r="G145" s="4">
        <v>1</v>
      </c>
      <c r="H145" s="4">
        <v>1</v>
      </c>
      <c r="I145" s="4">
        <v>2</v>
      </c>
      <c r="L145" s="5">
        <f t="shared" si="73"/>
        <v>0.14314115308151093</v>
      </c>
      <c r="M145" s="5">
        <f t="shared" si="74"/>
        <v>0.0477326968973747</v>
      </c>
      <c r="N145" s="5">
        <f t="shared" si="75"/>
        <v>0.0070422535211267581</v>
      </c>
      <c r="O145" s="5">
        <f t="shared" si="76"/>
        <v>0.027777777777777773</v>
      </c>
      <c r="P145" s="5">
        <f t="shared" si="77"/>
        <v>0.39990931761505327</v>
      </c>
      <c r="Q145" s="5">
        <f t="shared" si="78"/>
        <v>0.046927374301675977</v>
      </c>
      <c r="R145" s="5">
        <f t="shared" si="79"/>
        <v>0.091139240506329114</v>
      </c>
      <c r="S145" s="6">
        <f t="shared" si="80"/>
        <v>0.12244897959183675</v>
      </c>
      <c r="T145" s="5">
        <f t="shared" si="81"/>
        <v>0.11076484916158566</v>
      </c>
      <c r="W145" s="5">
        <f>1/AB140</f>
        <v>2.1114931389196103</v>
      </c>
      <c r="X145" s="5">
        <f>1/AB141</f>
        <v>3.0323745797657353</v>
      </c>
      <c r="Y145" s="5">
        <f>1/AB142</f>
        <v>1.0076683019175869</v>
      </c>
      <c r="Z145" s="5">
        <f>1/AB143</f>
        <v>0.35607637238923678</v>
      </c>
      <c r="AA145" s="5">
        <f>1/AB144</f>
        <v>4.1751643542886381</v>
      </c>
      <c r="AB145" s="5">
        <v>1</v>
      </c>
      <c r="AC145" s="5">
        <f>(H145*$T$7)/T146</f>
        <v>1.1158333297203704</v>
      </c>
      <c r="AD145" s="5">
        <f>(I145*$T$7)/T147</f>
        <v>3.5511979277008656</v>
      </c>
      <c r="AG145" s="5">
        <f/>
        <v>0.47359850788417479</v>
      </c>
      <c r="AH145" s="5">
        <f/>
        <v>0.32977456237522429</v>
      </c>
      <c r="AI145" s="5">
        <f/>
        <v>0.9923900534501342</v>
      </c>
      <c r="AJ145" s="5">
        <f/>
        <v>2.8083862832293538</v>
      </c>
      <c r="AK145" s="5">
        <f/>
        <v>0.23951152940190767</v>
      </c>
      <c r="AL145" s="5">
        <f/>
        <v>1</v>
      </c>
      <c r="AM145" s="5">
        <f/>
        <v>0.89619119035510575</v>
      </c>
      <c r="AN145" s="5">
        <f/>
        <v>0.28159511814297128</v>
      </c>
      <c r="AR145" s="5">
        <f t="shared" si="82"/>
        <v>2.585091646803785</v>
      </c>
      <c r="AS145" s="5">
        <f t="shared" si="83"/>
        <v>3.3621491421409595</v>
      </c>
      <c r="AT145" s="5">
        <f t="shared" si="84"/>
        <v>2.0000583553677211</v>
      </c>
      <c r="AU145" s="5">
        <f t="shared" si="85"/>
        <v>3.1644626556185904</v>
      </c>
      <c r="AV145" s="5">
        <f t="shared" si="86"/>
        <v>4.4146758836905455</v>
      </c>
      <c r="AW145" s="5">
        <f t="shared" si="87"/>
        <v>2</v>
      </c>
      <c r="AX145" s="5">
        <f t="shared" si="88"/>
        <v>2.0120245200754763</v>
      </c>
      <c r="AY145" s="5">
        <f t="shared" si="89"/>
        <v>3.8327930458438368</v>
      </c>
    </row>
    <row r="146">
      <c r="B146" s="4">
        <v>9</v>
      </c>
      <c r="C146" s="4">
        <v>0.20000000000000001</v>
      </c>
      <c r="D146" s="4">
        <v>2</v>
      </c>
      <c r="E146" s="4">
        <v>0.5</v>
      </c>
      <c r="F146" s="4">
        <v>0.5</v>
      </c>
      <c r="G146" s="4">
        <v>1</v>
      </c>
      <c r="H146" s="4">
        <v>1</v>
      </c>
      <c r="I146" s="4">
        <v>1</v>
      </c>
      <c r="L146" s="5">
        <f t="shared" si="73"/>
        <v>0.42942345924453273</v>
      </c>
      <c r="M146" s="5">
        <f t="shared" si="74"/>
        <v>0.0095465393794749408</v>
      </c>
      <c r="N146" s="5">
        <f t="shared" si="75"/>
        <v>0.098591549295774655</v>
      </c>
      <c r="O146" s="5">
        <f t="shared" si="76"/>
        <v>0.041666666666666657</v>
      </c>
      <c r="P146" s="5">
        <f t="shared" si="77"/>
        <v>0.028564951258218091</v>
      </c>
      <c r="Q146" s="5">
        <f t="shared" si="78"/>
        <v>0.046927374301675977</v>
      </c>
      <c r="R146" s="5">
        <f t="shared" si="79"/>
        <v>0.091139240506329114</v>
      </c>
      <c r="S146" s="6">
        <f t="shared" si="80"/>
        <v>0.061224489795918373</v>
      </c>
      <c r="T146" s="5">
        <f t="shared" si="81"/>
        <v>0.1008855338060738</v>
      </c>
      <c r="W146" s="5">
        <f>1/AC140</f>
        <v>5.7694958480107159</v>
      </c>
      <c r="X146" s="5">
        <f>1/AC141</f>
        <v>0.18412744385681995</v>
      </c>
      <c r="Y146" s="5">
        <f>1/AC142</f>
        <v>1.8355851212348708</v>
      </c>
      <c r="Z146" s="5">
        <f>1/AC143</f>
        <v>0.48647592412390839</v>
      </c>
      <c r="AA146" s="5">
        <f>1/AC144</f>
        <v>0.27162671177389419</v>
      </c>
      <c r="AB146" s="5">
        <f>1/AC145</f>
        <v>0.89619119035510575</v>
      </c>
      <c r="AC146" s="5">
        <v>1</v>
      </c>
      <c r="AD146" s="5">
        <f>(I146*T146)/T147</f>
        <v>1.5912761490064118</v>
      </c>
      <c r="AG146" s="5">
        <f/>
        <v>0.17332536955456748</v>
      </c>
      <c r="AH146" s="5">
        <f/>
        <v>5.4310209225389228</v>
      </c>
      <c r="AI146" s="5">
        <f/>
        <v>0.54478541388876611</v>
      </c>
      <c r="AJ146" s="5">
        <f/>
        <v>2.0556001857664263</v>
      </c>
      <c r="AK146" s="5">
        <f/>
        <v>3.6815230485594279</v>
      </c>
      <c r="AL146" s="5">
        <f/>
        <v>1.1158333297203704</v>
      </c>
      <c r="AM146" s="5">
        <f/>
        <v>1</v>
      </c>
      <c r="AN146" s="5">
        <f/>
        <v>0.62842643662094544</v>
      </c>
      <c r="AR146" s="5">
        <f t="shared" si="82"/>
        <v>5.9428212175652835</v>
      </c>
      <c r="AS146" s="5">
        <f t="shared" si="83"/>
        <v>5.6151483663957427</v>
      </c>
      <c r="AT146" s="5">
        <f t="shared" si="84"/>
        <v>2.3803705351236371</v>
      </c>
      <c r="AU146" s="5">
        <f t="shared" si="85"/>
        <v>2.5420761098903348</v>
      </c>
      <c r="AV146" s="5">
        <f t="shared" si="86"/>
        <v>3.9531497603333223</v>
      </c>
      <c r="AW146" s="5">
        <f t="shared" si="87"/>
        <v>2.0120245200754763</v>
      </c>
      <c r="AX146" s="5">
        <f t="shared" si="88"/>
        <v>2</v>
      </c>
      <c r="AY146" s="5">
        <f t="shared" si="89"/>
        <v>2.2197025856273571</v>
      </c>
    </row>
    <row r="147">
      <c r="B147" s="10">
        <v>1</v>
      </c>
      <c r="C147" s="10">
        <v>0.5</v>
      </c>
      <c r="D147" s="10">
        <v>3</v>
      </c>
      <c r="E147" s="10">
        <v>1</v>
      </c>
      <c r="F147" s="10">
        <v>0.5</v>
      </c>
      <c r="G147" s="10">
        <v>0.5</v>
      </c>
      <c r="H147" s="10">
        <v>1</v>
      </c>
      <c r="I147" s="10">
        <v>1</v>
      </c>
      <c r="L147" s="5">
        <f t="shared" si="73"/>
        <v>0.04771371769383697</v>
      </c>
      <c r="M147" s="5">
        <f t="shared" si="74"/>
        <v>0.02386634844868735</v>
      </c>
      <c r="N147" s="5">
        <f t="shared" si="75"/>
        <v>0.14788732394366197</v>
      </c>
      <c r="O147" s="5">
        <f t="shared" si="76"/>
        <v>0.083333333333333315</v>
      </c>
      <c r="P147" s="5">
        <f t="shared" si="77"/>
        <v>0.028564951258218091</v>
      </c>
      <c r="Q147" s="5">
        <f t="shared" si="78"/>
        <v>0.023463687150837988</v>
      </c>
      <c r="R147" s="5">
        <f t="shared" si="79"/>
        <v>0.091139240506329114</v>
      </c>
      <c r="S147" s="6">
        <f t="shared" si="80"/>
        <v>0.061224489795918373</v>
      </c>
      <c r="T147" s="5">
        <f t="shared" si="81"/>
        <v>0.063399136516352886</v>
      </c>
      <c r="W147" s="5">
        <f>1/AD140</f>
        <v>0.40285596854052369</v>
      </c>
      <c r="X147" s="5">
        <f>1/AD141</f>
        <v>0.28927638356766133</v>
      </c>
      <c r="Y147" s="5">
        <f>1/AD142</f>
        <v>1.7302953252780839</v>
      </c>
      <c r="Z147" s="5">
        <f>1/AD143</f>
        <v>0.61142866299813836</v>
      </c>
      <c r="AA147" s="5">
        <f>1/AD144</f>
        <v>0.17069740657113291</v>
      </c>
      <c r="AB147" s="5">
        <f>1/AD145</f>
        <v>0.28159511814297128</v>
      </c>
      <c r="AC147" s="5">
        <f>1/AD146</f>
        <v>0.62842643662094544</v>
      </c>
      <c r="AD147" s="5">
        <v>1</v>
      </c>
      <c r="AG147" s="5">
        <f/>
        <v>2.4822767393091483</v>
      </c>
      <c r="AH147" s="5">
        <f/>
        <v>3.4569016235163952</v>
      </c>
      <c r="AI147" s="5">
        <f/>
        <v>0.57793602363185326</v>
      </c>
      <c r="AJ147" s="5">
        <f/>
        <v>1.6355137737516319</v>
      </c>
      <c r="AK147" s="5">
        <f/>
        <v>5.8583198191899921</v>
      </c>
      <c r="AL147" s="5">
        <f/>
        <v>3.5511979277008656</v>
      </c>
      <c r="AM147" s="5">
        <f/>
        <v>1.5912761490064118</v>
      </c>
      <c r="AN147" s="5">
        <f/>
        <v>1</v>
      </c>
      <c r="AR147" s="5">
        <f t="shared" si="82"/>
        <v>2.8851327078496718</v>
      </c>
      <c r="AS147" s="5">
        <f t="shared" si="83"/>
        <v>3.7461780070840565</v>
      </c>
      <c r="AT147" s="5">
        <f t="shared" si="84"/>
        <v>2.3082313489099371</v>
      </c>
      <c r="AU147" s="5">
        <f t="shared" si="85"/>
        <v>2.2469424367497703</v>
      </c>
      <c r="AV147" s="5">
        <f t="shared" si="86"/>
        <v>6.029017225761125</v>
      </c>
      <c r="AW147" s="5">
        <f t="shared" si="87"/>
        <v>3.8327930458438368</v>
      </c>
      <c r="AX147" s="5">
        <f t="shared" si="88"/>
        <v>2.2197025856273571</v>
      </c>
      <c r="AY147" s="5">
        <f t="shared" si="89"/>
        <v>2</v>
      </c>
    </row>
    <row r="148">
      <c r="A148" s="2" t="s">
        <v>6</v>
      </c>
      <c r="B148" s="11">
        <f>SUM(B140:B147)</f>
        <v>23.333333333333336</v>
      </c>
      <c r="C148" s="11">
        <f>SUM(C140:C147)</f>
        <v>12.949999999999999</v>
      </c>
      <c r="D148" s="11">
        <f>SUM(D140:D147)</f>
        <v>12.285714285714285</v>
      </c>
      <c r="E148" s="11">
        <f>SUM(E140:E147)</f>
        <v>9</v>
      </c>
      <c r="F148" s="11">
        <f>SUM(F140:F147)</f>
        <v>12.25</v>
      </c>
      <c r="G148" s="11">
        <f>SUM(G140:G147)</f>
        <v>7.3095238095238084</v>
      </c>
      <c r="H148" s="11">
        <f>SUM(H140:H147)</f>
        <v>12.611111111111111</v>
      </c>
      <c r="I148" s="11">
        <f>SUM(I140:I147)</f>
        <v>10.333333333333334</v>
      </c>
    </row>
    <row r="150">
      <c r="B150" s="2" t="s">
        <v>7</v>
      </c>
      <c r="C150" s="2">
        <f>B148*T140+C148*T141+D148*T142+E148*T143+F148*T144+G148*T145+H148*T146+I148*T147</f>
        <v>8.7421179438577497</v>
      </c>
    </row>
    <row r="151">
      <c r="B151" s="2" t="s">
        <v>8</v>
      </c>
      <c r="C151" s="2">
        <f>(C150-8)/7</f>
        <v>0.10601684912253566</v>
      </c>
    </row>
    <row r="152">
      <c r="B152" s="2" t="s">
        <v>9</v>
      </c>
      <c r="C152" s="2">
        <f>C151/1.41</f>
        <v>0.07518925469683381</v>
      </c>
      <c r="E152" s="2" t="s">
        <v>26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M204" zoomScale="100" workbookViewId="0">
      <selection activeCell="A1" activeCellId="0" sqref="A1"/>
    </sheetView>
  </sheetViews>
  <sheetFormatPr baseColWidth="8" defaultRowHeight="15"/>
  <cols>
    <col customWidth="1" min="1" max="1" style="1" width="12"/>
  </cols>
  <sheetData>
    <row r="1">
      <c r="A1" s="2" t="s">
        <v>27</v>
      </c>
      <c r="T1" s="12" t="s">
        <v>3</v>
      </c>
    </row>
    <row r="2">
      <c r="B2" s="4">
        <v>1</v>
      </c>
      <c r="C2" s="4">
        <v>0.33333333333333331</v>
      </c>
      <c r="D2" s="4">
        <v>6</v>
      </c>
      <c r="E2" s="4">
        <v>0.20000000000000001</v>
      </c>
      <c r="F2" s="4">
        <v>8</v>
      </c>
      <c r="G2" s="4">
        <v>3</v>
      </c>
      <c r="H2" s="4">
        <v>0.1111111111111111</v>
      </c>
      <c r="I2" s="4">
        <v>5</v>
      </c>
      <c r="L2" s="5">
        <f t="shared" ref="L2:L9" si="90">B2/$B$10</f>
        <v>0.053120849933598939</v>
      </c>
      <c r="M2" s="5">
        <f t="shared" ref="M2:M9" si="91">C2/$C$10</f>
        <v>0.046995636119503185</v>
      </c>
      <c r="N2" s="5">
        <f t="shared" ref="N2:N9" si="92">D2/$D$10</f>
        <v>0.38085642317380353</v>
      </c>
      <c r="O2" s="5">
        <f t="shared" ref="O2:O9" si="93">E2/$E$10</f>
        <v>0.012649332396345751</v>
      </c>
      <c r="P2" s="5">
        <f t="shared" ref="P2:P9" si="94">F2/$F$10</f>
        <v>0.23244552058111381</v>
      </c>
      <c r="Q2" s="5">
        <f t="shared" ref="Q2:Q9" si="95">G2/$G$10</f>
        <v>0.11190053285968028</v>
      </c>
      <c r="R2" s="5">
        <f t="shared" ref="R2:R9" si="96">H2/$H$10</f>
        <v>0.010243277848911651</v>
      </c>
      <c r="S2" s="6">
        <f t="shared" ref="S2:S9" si="97">I2/$I$10</f>
        <v>0.16666666666666666</v>
      </c>
      <c r="T2" s="5">
        <f t="shared" ref="T2:T9" si="98">AVERAGE(L2:S2)</f>
        <v>0.12685977994745298</v>
      </c>
      <c r="W2" s="5">
        <v>1</v>
      </c>
      <c r="X2" s="5">
        <f>(C2*$T$2)/T3</f>
        <v>0.20790238068390493</v>
      </c>
      <c r="Y2" s="5">
        <f>(D2*$T$2)/T4</f>
        <v>6.8502230311059957</v>
      </c>
      <c r="Z2" s="5">
        <f>(E2*$T$2)/T5</f>
        <v>0.2206494200933389</v>
      </c>
      <c r="AA2" s="5">
        <f>(F2*$T$2)/T6</f>
        <v>14.311705566666589</v>
      </c>
      <c r="AB2" s="5">
        <f>(G2*$T$2)/T7</f>
        <v>3.3981644093022316</v>
      </c>
      <c r="AC2" s="5">
        <f>(H2*$T$2)/T8</f>
        <v>0.085277866851351497</v>
      </c>
      <c r="AD2" s="5">
        <f>(I2*$T$2)/T9</f>
        <v>6.6457502139122893</v>
      </c>
      <c r="AG2" s="5">
        <f t="array" ref="AG2:AN9">TRANSPOSE(W2:AD9)</f>
        <v>1</v>
      </c>
      <c r="AH2" s="5">
        <f/>
        <v>4.8099497307844752</v>
      </c>
      <c r="AI2" s="5">
        <f/>
        <v>0.1459806484342373</v>
      </c>
      <c r="AJ2" s="5">
        <f/>
        <v>4.5320762664002512</v>
      </c>
      <c r="AK2" s="5">
        <f/>
        <v>0.069872874015037126</v>
      </c>
      <c r="AL2" s="5">
        <f/>
        <v>0.29427652095424572</v>
      </c>
      <c r="AM2" s="5">
        <f/>
        <v>11.726372116496631</v>
      </c>
      <c r="AN2" s="5">
        <f/>
        <v>0.15047210138993619</v>
      </c>
      <c r="AR2" s="5">
        <f t="shared" ref="AR2:AR9" si="99">W2+AG2</f>
        <v>2</v>
      </c>
      <c r="AS2" s="5">
        <f t="shared" ref="AS2:AS9" si="100">X2+AH2</f>
        <v>5.0178521114683798</v>
      </c>
      <c r="AT2" s="5">
        <f t="shared" ref="AT2:AT9" si="101">Y2+AI2</f>
        <v>6.9962036795402334</v>
      </c>
      <c r="AU2" s="5">
        <f t="shared" ref="AU2:AU9" si="102">Z2+AJ2</f>
        <v>4.7527256864935898</v>
      </c>
      <c r="AV2" s="5">
        <f t="shared" ref="AV2:AV9" si="103">AA2+AK2</f>
        <v>14.381578440681626</v>
      </c>
      <c r="AW2" s="5">
        <f t="shared" ref="AW2:AW9" si="104">AB2+AL2</f>
        <v>3.6924409302564776</v>
      </c>
      <c r="AX2" s="5">
        <f t="shared" ref="AX2:AX9" si="105">AC2+AM2</f>
        <v>11.811649983347982</v>
      </c>
      <c r="AY2" s="5">
        <f t="shared" ref="AY2:AY9" si="106">AD2+AN2</f>
        <v>6.7962223153022254</v>
      </c>
    </row>
    <row r="3">
      <c r="B3" s="4">
        <v>3</v>
      </c>
      <c r="C3" s="4">
        <v>1</v>
      </c>
      <c r="D3" s="4">
        <v>4</v>
      </c>
      <c r="E3" s="4">
        <v>6</v>
      </c>
      <c r="F3" s="4">
        <v>7</v>
      </c>
      <c r="G3" s="4">
        <v>0.33333333333333331</v>
      </c>
      <c r="H3" s="4">
        <v>5</v>
      </c>
      <c r="I3" s="4">
        <v>0.5</v>
      </c>
      <c r="L3" s="5">
        <f t="shared" si="90"/>
        <v>0.15936254980079681</v>
      </c>
      <c r="M3" s="5">
        <f t="shared" si="91"/>
        <v>0.14098690835850958</v>
      </c>
      <c r="N3" s="5">
        <f t="shared" si="92"/>
        <v>0.25390428211586902</v>
      </c>
      <c r="O3" s="5">
        <f t="shared" si="93"/>
        <v>0.37947997189037247</v>
      </c>
      <c r="P3" s="5">
        <f t="shared" si="94"/>
        <v>0.20338983050847459</v>
      </c>
      <c r="Q3" s="5">
        <f t="shared" si="95"/>
        <v>0.012433392539964476</v>
      </c>
      <c r="R3" s="5">
        <f t="shared" si="96"/>
        <v>0.46094750320102434</v>
      </c>
      <c r="S3" s="6">
        <f t="shared" si="97"/>
        <v>0.016666666666666666</v>
      </c>
      <c r="T3" s="5">
        <f t="shared" si="98"/>
        <v>0.20339638813520974</v>
      </c>
      <c r="W3" s="5">
        <f>1/X2</f>
        <v>4.8099497307844752</v>
      </c>
      <c r="X3" s="5">
        <v>1</v>
      </c>
      <c r="Y3" s="5">
        <f>(D3*$T$3)/T4</f>
        <v>7.3220507609515328</v>
      </c>
      <c r="Z3" s="5">
        <f>(E3*$T$3)/T5</f>
        <v>10.613126187757059</v>
      </c>
      <c r="AA3" s="5">
        <f>(F3*$T$3)/T6</f>
        <v>20.077920431757605</v>
      </c>
      <c r="AB3" s="5">
        <f>(G3*$T$3)/T7</f>
        <v>0.60537036984017245</v>
      </c>
      <c r="AC3" s="5">
        <f>(H3*$T$3)/T8</f>
        <v>6.1527337905529871</v>
      </c>
      <c r="AD3" s="5">
        <f>(I3*$T$3)/T9</f>
        <v>1.0655241484089428</v>
      </c>
      <c r="AG3" s="5">
        <f/>
        <v>0.2079023806839049</v>
      </c>
      <c r="AH3" s="5">
        <f/>
        <v>1</v>
      </c>
      <c r="AI3" s="5">
        <f/>
        <v>0.13657375954466139</v>
      </c>
      <c r="AJ3" s="5">
        <f/>
        <v>0.094222944522563579</v>
      </c>
      <c r="AK3" s="5">
        <f/>
        <v>0.049805954924409507</v>
      </c>
      <c r="AL3" s="5">
        <f/>
        <v>1.6518813107156469</v>
      </c>
      <c r="AM3" s="5">
        <f/>
        <v>0.16252937865366729</v>
      </c>
      <c r="AN3" s="5">
        <f/>
        <v>0.93850524316432948</v>
      </c>
      <c r="AR3" s="5">
        <f t="shared" si="99"/>
        <v>5.0178521114683798</v>
      </c>
      <c r="AS3" s="5">
        <f t="shared" si="100"/>
        <v>2</v>
      </c>
      <c r="AT3" s="5">
        <f t="shared" si="101"/>
        <v>7.4586245204961941</v>
      </c>
      <c r="AU3" s="5">
        <f t="shared" si="102"/>
        <v>10.707349132279623</v>
      </c>
      <c r="AV3" s="13">
        <f t="shared" si="103"/>
        <v>20.127726386682014</v>
      </c>
      <c r="AW3" s="5">
        <f t="shared" si="104"/>
        <v>2.2572516805558194</v>
      </c>
      <c r="AX3" s="5">
        <f t="shared" si="105"/>
        <v>6.3152631692066548</v>
      </c>
      <c r="AY3" s="5">
        <f t="shared" si="106"/>
        <v>2.0040293915732725</v>
      </c>
    </row>
    <row r="4">
      <c r="B4" s="4">
        <v>0.16666666666666671</v>
      </c>
      <c r="C4" s="4">
        <v>0.25</v>
      </c>
      <c r="D4" s="4">
        <v>1</v>
      </c>
      <c r="E4" s="4">
        <v>1</v>
      </c>
      <c r="F4" s="4">
        <v>9</v>
      </c>
      <c r="G4" s="4">
        <v>7</v>
      </c>
      <c r="H4" s="4">
        <v>2</v>
      </c>
      <c r="I4" s="4">
        <v>0.33333333333333331</v>
      </c>
      <c r="L4" s="5">
        <f t="shared" si="90"/>
        <v>0.0088534749889331594</v>
      </c>
      <c r="M4" s="5">
        <f t="shared" si="91"/>
        <v>0.035246727089627394</v>
      </c>
      <c r="N4" s="5">
        <f t="shared" si="92"/>
        <v>0.063476070528967254</v>
      </c>
      <c r="O4" s="5">
        <f t="shared" si="93"/>
        <v>0.06324666198172875</v>
      </c>
      <c r="P4" s="5">
        <f t="shared" si="94"/>
        <v>0.26150121065375304</v>
      </c>
      <c r="Q4" s="5">
        <f t="shared" si="95"/>
        <v>0.261101243339254</v>
      </c>
      <c r="R4" s="5">
        <f t="shared" si="96"/>
        <v>0.18437900128040974</v>
      </c>
      <c r="S4" s="6">
        <f t="shared" si="97"/>
        <v>0.01111111111111111</v>
      </c>
      <c r="T4" s="5">
        <f t="shared" si="98"/>
        <v>0.11111443762172306</v>
      </c>
      <c r="W4" s="5">
        <f>1/Y2</f>
        <v>0.14598064843423733</v>
      </c>
      <c r="X4" s="5">
        <f>1/Y3</f>
        <v>0.13657375954466144</v>
      </c>
      <c r="Y4" s="5">
        <v>1</v>
      </c>
      <c r="Z4" s="5">
        <f>(E4*$T$4)/T5</f>
        <v>0.96631636265592136</v>
      </c>
      <c r="AA4" s="5">
        <f>(F4*$T$4)/T6</f>
        <v>14.102316397047641</v>
      </c>
      <c r="AB4" s="5">
        <f>(G4*$T$4)/T7</f>
        <v>6.9449274153852167</v>
      </c>
      <c r="AC4" s="5">
        <f>(H4*$T$4)/T8</f>
        <v>1.3444831764052751</v>
      </c>
      <c r="AD4" s="5">
        <f>(I4*$T$4)/T9</f>
        <v>0.38806037022355488</v>
      </c>
      <c r="AG4" s="5">
        <f/>
        <v>6.8502230311059957</v>
      </c>
      <c r="AH4" s="5">
        <f/>
        <v>7.3220507609515328</v>
      </c>
      <c r="AI4" s="5">
        <f/>
        <v>1</v>
      </c>
      <c r="AJ4" s="5">
        <f/>
        <v>1.034857773960796</v>
      </c>
      <c r="AK4" s="5">
        <f/>
        <v>0.070910336418870359</v>
      </c>
      <c r="AL4" s="5">
        <f/>
        <v>0.14398998581103711</v>
      </c>
      <c r="AM4" s="5">
        <f/>
        <v>0.74378022540504019</v>
      </c>
      <c r="AN4" s="5">
        <f/>
        <v>2.5769186362006442</v>
      </c>
      <c r="AR4" s="5">
        <f t="shared" si="99"/>
        <v>6.9962036795402334</v>
      </c>
      <c r="AS4" s="5">
        <f t="shared" si="100"/>
        <v>7.4586245204961941</v>
      </c>
      <c r="AT4" s="5">
        <f t="shared" si="101"/>
        <v>2</v>
      </c>
      <c r="AU4" s="5">
        <f t="shared" si="102"/>
        <v>2.0011741366167173</v>
      </c>
      <c r="AV4" s="5">
        <f t="shared" si="103"/>
        <v>14.173226733466512</v>
      </c>
      <c r="AW4" s="5">
        <f t="shared" si="104"/>
        <v>7.0889174011962535</v>
      </c>
      <c r="AX4" s="5">
        <f t="shared" si="105"/>
        <v>2.0882634018103152</v>
      </c>
      <c r="AY4" s="5">
        <f t="shared" si="106"/>
        <v>2.964979006424199</v>
      </c>
    </row>
    <row r="5" ht="18.75" customHeight="1">
      <c r="B5" s="4">
        <v>5</v>
      </c>
      <c r="C5" s="4">
        <v>0.16666666666666671</v>
      </c>
      <c r="D5" s="4">
        <v>1</v>
      </c>
      <c r="E5" s="4">
        <v>1</v>
      </c>
      <c r="F5" s="4">
        <v>0.25</v>
      </c>
      <c r="G5" s="4">
        <v>0.33333333333333331</v>
      </c>
      <c r="H5" s="4">
        <v>2</v>
      </c>
      <c r="I5" s="4">
        <v>9</v>
      </c>
      <c r="L5" s="5">
        <f t="shared" si="90"/>
        <v>0.26560424966799467</v>
      </c>
      <c r="M5" s="5">
        <f t="shared" si="91"/>
        <v>0.023497818059751603</v>
      </c>
      <c r="N5" s="5">
        <f t="shared" si="92"/>
        <v>0.063476070528967254</v>
      </c>
      <c r="O5" s="5">
        <f t="shared" si="93"/>
        <v>0.06324666198172875</v>
      </c>
      <c r="P5" s="5">
        <f t="shared" si="94"/>
        <v>0.0072639225181598066</v>
      </c>
      <c r="Q5" s="5">
        <f t="shared" si="95"/>
        <v>0.012433392539964476</v>
      </c>
      <c r="R5" s="5">
        <f t="shared" si="96"/>
        <v>0.18437900128040974</v>
      </c>
      <c r="S5" s="6">
        <f t="shared" si="97"/>
        <v>0.29999999999999999</v>
      </c>
      <c r="T5" s="5">
        <f t="shared" si="98"/>
        <v>0.11498763957212205</v>
      </c>
      <c r="W5" s="5">
        <f>1/Z2</f>
        <v>4.5320762664002512</v>
      </c>
      <c r="X5" s="5">
        <f>1/Z3</f>
        <v>0.094222944522563579</v>
      </c>
      <c r="Y5" s="5">
        <f>1/Z4</f>
        <v>1.034857773960796</v>
      </c>
      <c r="Z5" s="5">
        <v>1</v>
      </c>
      <c r="AA5" s="5">
        <f>(F5*$T$5)/T6</f>
        <v>0.4053858820649876</v>
      </c>
      <c r="AB5" s="5">
        <f>(G5*$T$5)/T7</f>
        <v>0.34223867263832614</v>
      </c>
      <c r="AC5" s="5">
        <f>(H5*$T$5)/T8</f>
        <v>1.3913488670625032</v>
      </c>
      <c r="AD5" s="5">
        <f>(I5*$T$5)/T9</f>
        <v>10.842856854082662</v>
      </c>
      <c r="AF5" s="2" t="s">
        <v>4</v>
      </c>
      <c r="AG5" s="5">
        <f/>
        <v>0.2206494200933389</v>
      </c>
      <c r="AH5" s="5">
        <f/>
        <v>10.613126187757061</v>
      </c>
      <c r="AI5" s="5">
        <f/>
        <v>0.96631636265592136</v>
      </c>
      <c r="AJ5" s="5">
        <f/>
        <v>1</v>
      </c>
      <c r="AK5" s="5">
        <f/>
        <v>2.4667854610676589</v>
      </c>
      <c r="AL5" s="5">
        <f/>
        <v>2.921937466303782</v>
      </c>
      <c r="AM5" s="5">
        <f/>
        <v>0.7187270020287998</v>
      </c>
      <c r="AN5" s="5">
        <f/>
        <v>0.092226616421987526</v>
      </c>
      <c r="AP5" s="8" t="s">
        <v>5</v>
      </c>
      <c r="AR5" s="5">
        <f t="shared" si="99"/>
        <v>4.7527256864935898</v>
      </c>
      <c r="AS5" s="5">
        <f t="shared" si="100"/>
        <v>10.707349132279624</v>
      </c>
      <c r="AT5" s="5">
        <f t="shared" si="101"/>
        <v>2.0011741366167173</v>
      </c>
      <c r="AU5" s="5">
        <f t="shared" si="102"/>
        <v>2</v>
      </c>
      <c r="AV5" s="5">
        <f t="shared" si="103"/>
        <v>2.8721713431326465</v>
      </c>
      <c r="AW5" s="5">
        <f t="shared" si="104"/>
        <v>3.264176138942108</v>
      </c>
      <c r="AX5" s="5">
        <f t="shared" si="105"/>
        <v>2.1100758690913031</v>
      </c>
      <c r="AY5" s="5">
        <f t="shared" si="106"/>
        <v>10.935083470504649</v>
      </c>
    </row>
    <row r="6">
      <c r="B6" s="4">
        <v>0.125</v>
      </c>
      <c r="C6" s="4">
        <v>0.14285714285714279</v>
      </c>
      <c r="D6" s="4">
        <v>0.1111111111111111</v>
      </c>
      <c r="E6" s="4">
        <v>4</v>
      </c>
      <c r="F6" s="4">
        <v>1</v>
      </c>
      <c r="G6" s="4">
        <v>0.14285714285714279</v>
      </c>
      <c r="H6" s="4">
        <v>0.5</v>
      </c>
      <c r="I6" s="4">
        <v>6</v>
      </c>
      <c r="L6" s="5">
        <f t="shared" si="90"/>
        <v>0.0066401062416998674</v>
      </c>
      <c r="M6" s="5">
        <f t="shared" si="91"/>
        <v>0.020140986908358503</v>
      </c>
      <c r="N6" s="5">
        <f t="shared" si="92"/>
        <v>0.0070528967254408059</v>
      </c>
      <c r="O6" s="5">
        <f t="shared" si="93"/>
        <v>0.252986647926915</v>
      </c>
      <c r="P6" s="5">
        <f t="shared" si="94"/>
        <v>0.029055690072639227</v>
      </c>
      <c r="Q6" s="5">
        <f t="shared" si="95"/>
        <v>0.0053285968028419159</v>
      </c>
      <c r="R6" s="5">
        <f t="shared" si="96"/>
        <v>0.046094750320102434</v>
      </c>
      <c r="S6" s="6">
        <f t="shared" si="97"/>
        <v>0.20000000000000001</v>
      </c>
      <c r="T6" s="5">
        <f t="shared" si="98"/>
        <v>0.070912459374749715</v>
      </c>
      <c r="W6" s="5">
        <f>1/AA2</f>
        <v>0.069872874015037126</v>
      </c>
      <c r="X6" s="5">
        <f>1/AA3</f>
        <v>0.049805954924409514</v>
      </c>
      <c r="Y6" s="5">
        <f>1/AA4</f>
        <v>0.070910336418870359</v>
      </c>
      <c r="Z6" s="5">
        <f>1/AA5</f>
        <v>2.4667854610676589</v>
      </c>
      <c r="AA6" s="5">
        <v>1</v>
      </c>
      <c r="AB6" s="5">
        <f>(G6*$T$6)/T7</f>
        <v>0.090453148058498203</v>
      </c>
      <c r="AC6" s="5">
        <f>(H6*$T$6)/T8</f>
        <v>0.21450994728392137</v>
      </c>
      <c r="AD6" s="5">
        <f>(I6*$T$6)/T9</f>
        <v>4.4578336073481539</v>
      </c>
      <c r="AG6" s="5">
        <f/>
        <v>14.311705566666591</v>
      </c>
      <c r="AH6" s="5">
        <f/>
        <v>20.077920431757601</v>
      </c>
      <c r="AI6" s="5">
        <f/>
        <v>14.102316397047639</v>
      </c>
      <c r="AJ6" s="5">
        <f/>
        <v>0.4053858820649876</v>
      </c>
      <c r="AK6" s="5">
        <f/>
        <v>1</v>
      </c>
      <c r="AL6" s="5">
        <f/>
        <v>11.055447173085399</v>
      </c>
      <c r="AM6" s="5">
        <f/>
        <v>4.6617884749019058</v>
      </c>
      <c r="AN6" s="5">
        <f/>
        <v>0.22432420948858009</v>
      </c>
      <c r="AR6" s="5">
        <f t="shared" si="99"/>
        <v>14.381578440681627</v>
      </c>
      <c r="AS6" s="13">
        <f t="shared" si="100"/>
        <v>20.12772638668201</v>
      </c>
      <c r="AT6" s="5">
        <f t="shared" si="101"/>
        <v>14.17322673346651</v>
      </c>
      <c r="AU6" s="5">
        <f t="shared" si="102"/>
        <v>2.8721713431326465</v>
      </c>
      <c r="AV6" s="5">
        <f t="shared" si="103"/>
        <v>2</v>
      </c>
      <c r="AW6" s="5">
        <f t="shared" si="104"/>
        <v>11.145900321143898</v>
      </c>
      <c r="AX6" s="5">
        <f t="shared" si="105"/>
        <v>4.876298422185827</v>
      </c>
      <c r="AY6" s="5">
        <f t="shared" si="106"/>
        <v>4.6821578168367344</v>
      </c>
    </row>
    <row r="7">
      <c r="B7" s="4">
        <v>0.33333333333333331</v>
      </c>
      <c r="C7" s="4">
        <v>3</v>
      </c>
      <c r="D7" s="4">
        <v>0.14285714285714279</v>
      </c>
      <c r="E7" s="4">
        <v>3</v>
      </c>
      <c r="F7" s="4">
        <v>7</v>
      </c>
      <c r="G7" s="4">
        <v>1</v>
      </c>
      <c r="H7" s="4">
        <v>0.1111111111111111</v>
      </c>
      <c r="I7" s="4">
        <v>0.16666666666666671</v>
      </c>
      <c r="L7" s="5">
        <f t="shared" si="90"/>
        <v>0.017706949977866312</v>
      </c>
      <c r="M7" s="5">
        <f t="shared" si="91"/>
        <v>0.42296072507552873</v>
      </c>
      <c r="N7" s="5">
        <f t="shared" si="92"/>
        <v>0.0090680100755667469</v>
      </c>
      <c r="O7" s="5">
        <f t="shared" si="93"/>
        <v>0.18973998594518623</v>
      </c>
      <c r="P7" s="5">
        <f t="shared" si="94"/>
        <v>0.20338983050847459</v>
      </c>
      <c r="Q7" s="5">
        <f t="shared" si="95"/>
        <v>0.037300177619893425</v>
      </c>
      <c r="R7" s="5">
        <f t="shared" si="96"/>
        <v>0.010243277848911651</v>
      </c>
      <c r="S7" s="6">
        <f t="shared" si="97"/>
        <v>0.0055555555555555575</v>
      </c>
      <c r="T7" s="5">
        <f t="shared" si="98"/>
        <v>0.11199556407587291</v>
      </c>
      <c r="W7" s="5">
        <f>1/AB2</f>
        <v>0.29427652095424567</v>
      </c>
      <c r="X7" s="5">
        <f>1/AB3</f>
        <v>1.6518813107156469</v>
      </c>
      <c r="Y7" s="5">
        <f>1/AB4</f>
        <v>0.14398998581103711</v>
      </c>
      <c r="Z7" s="5">
        <f>1/AB5</f>
        <v>2.9219374663037816</v>
      </c>
      <c r="AA7" s="5">
        <f>1/AB6</f>
        <v>11.05544717308541</v>
      </c>
      <c r="AB7" s="5">
        <v>1</v>
      </c>
      <c r="AC7" s="5">
        <f>(H7*$T$7)/T8</f>
        <v>0.075285821914245321</v>
      </c>
      <c r="AD7" s="5">
        <f>(I7*$T$7)/T9</f>
        <v>0.19556882520810426</v>
      </c>
      <c r="AG7" s="5">
        <f/>
        <v>3.3981644093022321</v>
      </c>
      <c r="AH7" s="5">
        <f/>
        <v>0.60537036984017245</v>
      </c>
      <c r="AI7" s="5">
        <f/>
        <v>6.9449274153852167</v>
      </c>
      <c r="AJ7" s="5">
        <f/>
        <v>0.34223867263832608</v>
      </c>
      <c r="AK7" s="5">
        <f/>
        <v>0.090453148058498245</v>
      </c>
      <c r="AL7" s="5">
        <f/>
        <v>1</v>
      </c>
      <c r="AM7" s="5">
        <f/>
        <v>13.282713458837639</v>
      </c>
      <c r="AN7" s="5">
        <f/>
        <v>5.1132893953619796</v>
      </c>
      <c r="AR7" s="5">
        <f t="shared" si="99"/>
        <v>3.6924409302564776</v>
      </c>
      <c r="AS7" s="5">
        <f t="shared" si="100"/>
        <v>2.2572516805558194</v>
      </c>
      <c r="AT7" s="5">
        <f t="shared" si="101"/>
        <v>7.0889174011962535</v>
      </c>
      <c r="AU7" s="5">
        <f t="shared" si="102"/>
        <v>3.2641761389421076</v>
      </c>
      <c r="AV7" s="5">
        <f t="shared" si="103"/>
        <v>11.145900321143909</v>
      </c>
      <c r="AW7" s="5">
        <f t="shared" si="104"/>
        <v>2</v>
      </c>
      <c r="AX7" s="5">
        <f t="shared" si="105"/>
        <v>13.357999280751885</v>
      </c>
      <c r="AY7" s="5">
        <f t="shared" si="106"/>
        <v>5.3088582205700838</v>
      </c>
    </row>
    <row r="8">
      <c r="B8" s="4">
        <v>9</v>
      </c>
      <c r="C8" s="4">
        <v>0.20000000000000001</v>
      </c>
      <c r="D8" s="4">
        <v>0.5</v>
      </c>
      <c r="E8" s="4">
        <v>0.5</v>
      </c>
      <c r="F8" s="4">
        <v>2</v>
      </c>
      <c r="G8" s="4">
        <v>9</v>
      </c>
      <c r="H8" s="4">
        <v>1</v>
      </c>
      <c r="I8" s="4">
        <v>8</v>
      </c>
      <c r="L8" s="5">
        <f t="shared" si="90"/>
        <v>0.47808764940239046</v>
      </c>
      <c r="M8" s="5">
        <f t="shared" si="91"/>
        <v>0.028197381671701917</v>
      </c>
      <c r="N8" s="5">
        <f t="shared" si="92"/>
        <v>0.031738035264483627</v>
      </c>
      <c r="O8" s="5">
        <f t="shared" si="93"/>
        <v>0.031623330990864375</v>
      </c>
      <c r="P8" s="5">
        <f t="shared" si="94"/>
        <v>0.058111380145278453</v>
      </c>
      <c r="Q8" s="5">
        <f t="shared" si="95"/>
        <v>0.33570159857904086</v>
      </c>
      <c r="R8" s="5">
        <f t="shared" si="96"/>
        <v>0.092189500640204869</v>
      </c>
      <c r="S8" s="6">
        <f t="shared" si="97"/>
        <v>0.26666666666666666</v>
      </c>
      <c r="T8" s="5">
        <f t="shared" si="98"/>
        <v>0.16528944292007891</v>
      </c>
      <c r="W8" s="5">
        <f>1/AC2</f>
        <v>11.726372116496625</v>
      </c>
      <c r="X8" s="5">
        <f>1/AC3</f>
        <v>0.16252937865366729</v>
      </c>
      <c r="Y8" s="5">
        <f>1/AC4</f>
        <v>0.74378022540504019</v>
      </c>
      <c r="Z8" s="5">
        <f>1/AC5</f>
        <v>0.7187270020287998</v>
      </c>
      <c r="AA8" s="5">
        <f>1/AC6</f>
        <v>4.6617884749019058</v>
      </c>
      <c r="AB8" s="5">
        <f>1/AC7</f>
        <v>13.282713458837639</v>
      </c>
      <c r="AC8" s="5">
        <v>1</v>
      </c>
      <c r="AD8" s="5">
        <f>(I8*T8)/T9</f>
        <v>13.854318222510674</v>
      </c>
      <c r="AG8" s="5">
        <f/>
        <v>0.085277866851351497</v>
      </c>
      <c r="AH8" s="5">
        <f/>
        <v>6.1527337905529871</v>
      </c>
      <c r="AI8" s="5">
        <f/>
        <v>1.3444831764052749</v>
      </c>
      <c r="AJ8" s="5">
        <f/>
        <v>1.3913488670625029</v>
      </c>
      <c r="AK8" s="5">
        <f/>
        <v>0.21450994728392139</v>
      </c>
      <c r="AL8" s="5">
        <f/>
        <v>0.075285821914245321</v>
      </c>
      <c r="AM8" s="5">
        <f/>
        <v>1</v>
      </c>
      <c r="AN8" s="5">
        <f/>
        <v>0.072179661527853975</v>
      </c>
      <c r="AR8" s="5">
        <f t="shared" si="99"/>
        <v>11.811649983347976</v>
      </c>
      <c r="AS8" s="5">
        <f t="shared" si="100"/>
        <v>6.3152631692066548</v>
      </c>
      <c r="AT8" s="5">
        <f t="shared" si="101"/>
        <v>2.0882634018103152</v>
      </c>
      <c r="AU8" s="5">
        <f t="shared" si="102"/>
        <v>2.1100758690913026</v>
      </c>
      <c r="AV8" s="5">
        <f t="shared" si="103"/>
        <v>4.876298422185827</v>
      </c>
      <c r="AW8" s="5">
        <f t="shared" si="104"/>
        <v>13.357999280751885</v>
      </c>
      <c r="AX8" s="5">
        <f t="shared" si="105"/>
        <v>2</v>
      </c>
      <c r="AY8" s="5">
        <f t="shared" si="106"/>
        <v>13.926497884038527</v>
      </c>
    </row>
    <row r="9">
      <c r="B9" s="10">
        <v>0.20000000000000001</v>
      </c>
      <c r="C9" s="10">
        <v>2</v>
      </c>
      <c r="D9" s="10">
        <v>3</v>
      </c>
      <c r="E9" s="10">
        <v>0.1111111111111111</v>
      </c>
      <c r="F9" s="10">
        <v>0.16666666666666671</v>
      </c>
      <c r="G9" s="10">
        <v>6</v>
      </c>
      <c r="H9" s="10">
        <v>0.125</v>
      </c>
      <c r="I9" s="10">
        <v>1</v>
      </c>
      <c r="L9" s="5">
        <f t="shared" si="90"/>
        <v>0.010624169986719788</v>
      </c>
      <c r="M9" s="5">
        <f t="shared" si="91"/>
        <v>0.28197381671701915</v>
      </c>
      <c r="N9" s="5">
        <f t="shared" si="92"/>
        <v>0.19042821158690176</v>
      </c>
      <c r="O9" s="5">
        <f t="shared" si="93"/>
        <v>0.0070274068868587496</v>
      </c>
      <c r="P9" s="5">
        <f t="shared" si="94"/>
        <v>0.0048426150121065395</v>
      </c>
      <c r="Q9" s="5">
        <f t="shared" si="95"/>
        <v>0.22380106571936056</v>
      </c>
      <c r="R9" s="5">
        <f t="shared" si="96"/>
        <v>0.011523687580025609</v>
      </c>
      <c r="S9" s="6">
        <f t="shared" si="97"/>
        <v>0.033333333333333333</v>
      </c>
      <c r="T9" s="5">
        <f t="shared" si="98"/>
        <v>0.095444288352790688</v>
      </c>
      <c r="W9" s="5">
        <f>1/AD2</f>
        <v>0.15047210138993616</v>
      </c>
      <c r="X9" s="5">
        <f>1/AD3</f>
        <v>0.93850524316432948</v>
      </c>
      <c r="Y9" s="5">
        <f>1/AD4</f>
        <v>2.5769186362006438</v>
      </c>
      <c r="Z9" s="5">
        <f>1/AD5</f>
        <v>0.092226616421987526</v>
      </c>
      <c r="AA9" s="5">
        <f>1/AD6</f>
        <v>0.22432420948858009</v>
      </c>
      <c r="AB9" s="5">
        <f>1/AD7</f>
        <v>5.1132893953619787</v>
      </c>
      <c r="AC9" s="5">
        <f>1/AD8</f>
        <v>0.072179661527853975</v>
      </c>
      <c r="AD9" s="5">
        <v>1</v>
      </c>
      <c r="AG9" s="5">
        <f/>
        <v>6.6457502139122893</v>
      </c>
      <c r="AH9" s="5">
        <f/>
        <v>1.0655241484089431</v>
      </c>
      <c r="AI9" s="5">
        <f/>
        <v>0.38806037022355488</v>
      </c>
      <c r="AJ9" s="5">
        <f/>
        <v>10.84285685408266</v>
      </c>
      <c r="AK9" s="5">
        <f/>
        <v>4.4578336073481539</v>
      </c>
      <c r="AL9" s="5">
        <f/>
        <v>0.1955688252081042</v>
      </c>
      <c r="AM9" s="5">
        <f/>
        <v>13.85431822251067</v>
      </c>
      <c r="AN9" s="5">
        <f/>
        <v>1</v>
      </c>
      <c r="AR9" s="5">
        <f t="shared" si="99"/>
        <v>6.7962223153022254</v>
      </c>
      <c r="AS9" s="5">
        <f t="shared" si="100"/>
        <v>2.0040293915732725</v>
      </c>
      <c r="AT9" s="5">
        <f t="shared" si="101"/>
        <v>2.9649790064241985</v>
      </c>
      <c r="AU9" s="5">
        <f t="shared" si="102"/>
        <v>10.935083470504647</v>
      </c>
      <c r="AV9" s="5">
        <f t="shared" si="103"/>
        <v>4.6821578168367344</v>
      </c>
      <c r="AW9" s="5">
        <f t="shared" si="104"/>
        <v>5.3088582205700829</v>
      </c>
      <c r="AX9" s="5">
        <f t="shared" si="105"/>
        <v>13.926497884038524</v>
      </c>
      <c r="AY9" s="5">
        <f t="shared" si="106"/>
        <v>2</v>
      </c>
    </row>
    <row r="10">
      <c r="A10" s="2" t="s">
        <v>6</v>
      </c>
      <c r="B10" s="11">
        <f>SUM(B2:B9)</f>
        <v>18.824999999999999</v>
      </c>
      <c r="C10" s="11">
        <f>SUM(C2:C9)</f>
        <v>7.0928571428571425</v>
      </c>
      <c r="D10" s="11">
        <f>SUM(D2:D9)</f>
        <v>15.753968253968253</v>
      </c>
      <c r="E10" s="11">
        <f>SUM(E2:E9)</f>
        <v>15.81111111111111</v>
      </c>
      <c r="F10" s="11">
        <f>SUM(F2:F9)</f>
        <v>34.416666666666664</v>
      </c>
      <c r="G10" s="11">
        <f>SUM(G2:G9)</f>
        <v>26.80952380952381</v>
      </c>
      <c r="H10" s="11">
        <f>SUM(H2:H9)</f>
        <v>10.847222222222221</v>
      </c>
      <c r="I10" s="11">
        <f>SUM(I2:I9)</f>
        <v>30</v>
      </c>
    </row>
    <row r="12">
      <c r="B12" s="2" t="s">
        <v>7</v>
      </c>
      <c r="C12" s="2">
        <f>B10*T2+C10*T3+D10*T4+E10*T5+F10*T6+G10*T7+H10*T8+I10*T9</f>
        <v>17.498750737848948</v>
      </c>
    </row>
    <row r="13">
      <c r="B13" s="2" t="s">
        <v>8</v>
      </c>
      <c r="C13" s="2">
        <f>(C12-8)/7</f>
        <v>1.3569643911212783</v>
      </c>
    </row>
    <row r="14">
      <c r="B14" s="2" t="s">
        <v>9</v>
      </c>
      <c r="C14" s="2">
        <f>C13/1.41</f>
        <v>0.9623860929938145</v>
      </c>
    </row>
    <row r="16">
      <c r="A16" s="2" t="s">
        <v>18</v>
      </c>
    </row>
    <row r="17">
      <c r="T17" s="12" t="s">
        <v>3</v>
      </c>
    </row>
    <row r="18">
      <c r="B18" s="4">
        <v>1</v>
      </c>
      <c r="C18" s="4">
        <v>0.33333333333333331</v>
      </c>
      <c r="D18" s="4">
        <v>6</v>
      </c>
      <c r="E18" s="4">
        <v>0.20000000000000001</v>
      </c>
      <c r="F18" s="4">
        <v>8</v>
      </c>
      <c r="G18" s="4">
        <v>3</v>
      </c>
      <c r="H18" s="4">
        <v>0.1111111111111111</v>
      </c>
      <c r="I18" s="4">
        <v>5</v>
      </c>
      <c r="L18" s="5">
        <f t="shared" ref="L18:L81" si="107">B18/$B$10</f>
        <v>0.053120849933598939</v>
      </c>
      <c r="M18" s="5">
        <f t="shared" ref="M18:M81" si="108">C18/$C$10</f>
        <v>0.046995636119503185</v>
      </c>
      <c r="N18" s="5">
        <f t="shared" ref="N18:N81" si="109">D18/$D$10</f>
        <v>0.38085642317380353</v>
      </c>
      <c r="O18" s="5">
        <f t="shared" ref="O18:O81" si="110">E18/$E$10</f>
        <v>0.012649332396345751</v>
      </c>
      <c r="P18" s="5">
        <f t="shared" ref="P18:P81" si="111">F18/$F$10</f>
        <v>0.23244552058111381</v>
      </c>
      <c r="Q18" s="5">
        <f t="shared" ref="Q18:Q81" si="112">G18/$G$10</f>
        <v>0.11190053285968028</v>
      </c>
      <c r="R18" s="5">
        <f t="shared" ref="R18:R81" si="113">H18/$H$10</f>
        <v>0.010243277848911651</v>
      </c>
      <c r="S18" s="6">
        <f t="shared" ref="S18:S81" si="114">I18/$I$10</f>
        <v>0.16666666666666666</v>
      </c>
      <c r="T18" s="5">
        <f t="shared" ref="T18:T81" si="115">AVERAGE(L18:S18)</f>
        <v>0.12685977994745298</v>
      </c>
      <c r="W18" s="5">
        <v>1</v>
      </c>
      <c r="X18" s="5">
        <f>(C18*$T$2)/T19</f>
        <v>0.20790238068390493</v>
      </c>
      <c r="Y18" s="5">
        <f>(D18*$T$2)/T20</f>
        <v>6.8502230311059957</v>
      </c>
      <c r="Z18" s="5">
        <f>(E18*$T$2)/T21</f>
        <v>0.2206494200933389</v>
      </c>
      <c r="AA18" s="5">
        <f>(F18*$T$2)/T22</f>
        <v>14.311705566666589</v>
      </c>
      <c r="AB18" s="5">
        <f>(G18*$T$2)/T23</f>
        <v>3.3981644093022316</v>
      </c>
      <c r="AC18" s="5">
        <f>(H18*$T$2)/T24</f>
        <v>0.085277866851351497</v>
      </c>
      <c r="AD18" s="5">
        <f>(I18*$T$2)/T25</f>
        <v>6.6457502139122893</v>
      </c>
      <c r="AG18" s="5">
        <f t="array" ref="AG18:AN25">TRANSPOSE(W18:AD25)</f>
        <v>1</v>
      </c>
      <c r="AH18" s="5">
        <f/>
        <v>4.8099497307844752</v>
      </c>
      <c r="AI18" s="5">
        <f/>
        <v>0.1459806484342373</v>
      </c>
      <c r="AJ18" s="5">
        <f/>
        <v>4.5320762664002512</v>
      </c>
      <c r="AK18" s="5">
        <f/>
        <v>0.069872874015037126</v>
      </c>
      <c r="AL18" s="5">
        <f/>
        <v>0.29427652095424572</v>
      </c>
      <c r="AM18" s="5">
        <f/>
        <v>11.726372116496631</v>
      </c>
      <c r="AN18" s="5">
        <f/>
        <v>0.15047210138993619</v>
      </c>
      <c r="AR18" s="5">
        <f t="shared" ref="AR18:AR81" si="116">W18+AG18</f>
        <v>2</v>
      </c>
      <c r="AS18" s="5">
        <f t="shared" ref="AS18:AS81" si="117">X18+AH18</f>
        <v>5.0178521114683798</v>
      </c>
      <c r="AT18" s="5">
        <f t="shared" ref="AT18:AT81" si="118">Y18+AI18</f>
        <v>6.9962036795402334</v>
      </c>
      <c r="AU18" s="5">
        <f t="shared" ref="AU18:AU81" si="119">Z18+AJ18</f>
        <v>4.7527256864935898</v>
      </c>
      <c r="AV18" s="5">
        <f t="shared" ref="AV18:AV81" si="120">AA18+AK18</f>
        <v>14.381578440681626</v>
      </c>
      <c r="AW18" s="5">
        <f t="shared" ref="AW18:AW81" si="121">AB18+AL18</f>
        <v>3.6924409302564776</v>
      </c>
      <c r="AX18" s="5">
        <f t="shared" ref="AX18:AX81" si="122">AC18+AM18</f>
        <v>11.811649983347982</v>
      </c>
      <c r="AY18" s="5">
        <f t="shared" ref="AY18:AY81" si="123">AD18+AN18</f>
        <v>6.7962223153022254</v>
      </c>
    </row>
    <row r="19">
      <c r="B19" s="4">
        <v>3</v>
      </c>
      <c r="C19" s="4">
        <v>1</v>
      </c>
      <c r="D19" s="4">
        <v>4</v>
      </c>
      <c r="E19" s="4">
        <v>6</v>
      </c>
      <c r="F19" s="4">
        <v>7</v>
      </c>
      <c r="G19" s="4">
        <v>0.33333333333333331</v>
      </c>
      <c r="H19" s="4">
        <v>5</v>
      </c>
      <c r="I19" s="4">
        <v>0.5</v>
      </c>
      <c r="L19" s="5">
        <f t="shared" si="107"/>
        <v>0.15936254980079681</v>
      </c>
      <c r="M19" s="5">
        <f t="shared" si="108"/>
        <v>0.14098690835850958</v>
      </c>
      <c r="N19" s="5">
        <f t="shared" si="109"/>
        <v>0.25390428211586902</v>
      </c>
      <c r="O19" s="5">
        <f t="shared" si="110"/>
        <v>0.37947997189037247</v>
      </c>
      <c r="P19" s="5">
        <f t="shared" si="111"/>
        <v>0.20338983050847459</v>
      </c>
      <c r="Q19" s="5">
        <f t="shared" si="112"/>
        <v>0.012433392539964476</v>
      </c>
      <c r="R19" s="5">
        <f t="shared" si="113"/>
        <v>0.46094750320102434</v>
      </c>
      <c r="S19" s="6">
        <f t="shared" si="114"/>
        <v>0.016666666666666666</v>
      </c>
      <c r="T19" s="5">
        <f t="shared" si="115"/>
        <v>0.20339638813520974</v>
      </c>
      <c r="W19" s="5">
        <f>1/X18</f>
        <v>4.8099497307844752</v>
      </c>
      <c r="X19" s="5">
        <v>1</v>
      </c>
      <c r="Y19" s="5">
        <f>(D19*$T$3)/T20</f>
        <v>7.3220507609515328</v>
      </c>
      <c r="Z19" s="5">
        <f>(E19*$T$3)/T21</f>
        <v>10.613126187757059</v>
      </c>
      <c r="AA19" s="5">
        <f>(F19*$T$3)/T22</f>
        <v>20.077920431757605</v>
      </c>
      <c r="AB19" s="5">
        <f>(G19*$T$3)/T23</f>
        <v>0.60537036984017245</v>
      </c>
      <c r="AC19" s="5">
        <f>(H19*$T$3)/T24</f>
        <v>6.1527337905529871</v>
      </c>
      <c r="AD19" s="5">
        <f>(I19*$T$3)/T25</f>
        <v>1.0655241484089428</v>
      </c>
      <c r="AG19" s="5">
        <f/>
        <v>0.2079023806839049</v>
      </c>
      <c r="AH19" s="5">
        <f/>
        <v>1</v>
      </c>
      <c r="AI19" s="5">
        <f/>
        <v>0.13657375954466139</v>
      </c>
      <c r="AJ19" s="5">
        <f/>
        <v>0.094222944522563579</v>
      </c>
      <c r="AK19" s="5">
        <f/>
        <v>0.049805954924409507</v>
      </c>
      <c r="AL19" s="5">
        <f/>
        <v>1.6518813107156469</v>
      </c>
      <c r="AM19" s="5">
        <f/>
        <v>0.16252937865366729</v>
      </c>
      <c r="AN19" s="5">
        <f/>
        <v>0.93850524316432948</v>
      </c>
      <c r="AR19" s="5">
        <f t="shared" si="116"/>
        <v>5.0178521114683798</v>
      </c>
      <c r="AS19" s="5">
        <f t="shared" si="117"/>
        <v>2</v>
      </c>
      <c r="AT19" s="5">
        <f t="shared" si="118"/>
        <v>7.4586245204961941</v>
      </c>
      <c r="AU19" s="5">
        <f t="shared" si="119"/>
        <v>10.707349132279623</v>
      </c>
      <c r="AV19" s="13">
        <f t="shared" si="120"/>
        <v>20.127726386682014</v>
      </c>
      <c r="AW19" s="5">
        <f t="shared" si="121"/>
        <v>2.2572516805558194</v>
      </c>
      <c r="AX19" s="5">
        <f t="shared" si="122"/>
        <v>6.3152631692066548</v>
      </c>
      <c r="AY19" s="5">
        <f t="shared" si="123"/>
        <v>2.0040293915732725</v>
      </c>
    </row>
    <row r="20">
      <c r="B20" s="4">
        <v>0.16666666666666671</v>
      </c>
      <c r="C20" s="4">
        <v>0.25</v>
      </c>
      <c r="D20" s="4">
        <v>1</v>
      </c>
      <c r="E20" s="4">
        <v>1</v>
      </c>
      <c r="F20" s="4">
        <v>9</v>
      </c>
      <c r="G20" s="4">
        <v>7</v>
      </c>
      <c r="H20" s="4">
        <v>2</v>
      </c>
      <c r="I20" s="4">
        <v>0.33333333333333331</v>
      </c>
      <c r="L20" s="5">
        <f t="shared" si="107"/>
        <v>0.0088534749889331594</v>
      </c>
      <c r="M20" s="5">
        <f t="shared" si="108"/>
        <v>0.035246727089627394</v>
      </c>
      <c r="N20" s="5">
        <f t="shared" si="109"/>
        <v>0.063476070528967254</v>
      </c>
      <c r="O20" s="5">
        <f t="shared" si="110"/>
        <v>0.06324666198172875</v>
      </c>
      <c r="P20" s="5">
        <f t="shared" si="111"/>
        <v>0.26150121065375304</v>
      </c>
      <c r="Q20" s="5">
        <f t="shared" si="112"/>
        <v>0.261101243339254</v>
      </c>
      <c r="R20" s="5">
        <f t="shared" si="113"/>
        <v>0.18437900128040974</v>
      </c>
      <c r="S20" s="6">
        <f t="shared" si="114"/>
        <v>0.01111111111111111</v>
      </c>
      <c r="T20" s="5">
        <f t="shared" si="115"/>
        <v>0.11111443762172306</v>
      </c>
      <c r="W20" s="5">
        <f>1/Y18</f>
        <v>0.14598064843423733</v>
      </c>
      <c r="X20" s="5">
        <f>1/Y19</f>
        <v>0.13657375954466144</v>
      </c>
      <c r="Y20" s="5">
        <v>1</v>
      </c>
      <c r="Z20" s="5">
        <f>(E20*$T$4)/T21</f>
        <v>0.96631636265592136</v>
      </c>
      <c r="AA20" s="5">
        <f>(F20*$T$4)/T22</f>
        <v>14.102316397047641</v>
      </c>
      <c r="AB20" s="5">
        <f>(G20*$T$4)/T23</f>
        <v>6.9449274153852167</v>
      </c>
      <c r="AC20" s="5">
        <f>(H20*$T$4)/T24</f>
        <v>1.3444831764052751</v>
      </c>
      <c r="AD20" s="5">
        <f>(I20*$T$4)/T25</f>
        <v>0.38806037022355488</v>
      </c>
      <c r="AG20" s="5">
        <f/>
        <v>6.8502230311059957</v>
      </c>
      <c r="AH20" s="5">
        <f/>
        <v>7.3220507609515328</v>
      </c>
      <c r="AI20" s="5">
        <f/>
        <v>1</v>
      </c>
      <c r="AJ20" s="5">
        <f/>
        <v>1.034857773960796</v>
      </c>
      <c r="AK20" s="5">
        <f/>
        <v>0.070910336418870359</v>
      </c>
      <c r="AL20" s="5">
        <f/>
        <v>0.14398998581103711</v>
      </c>
      <c r="AM20" s="5">
        <f/>
        <v>0.74378022540504019</v>
      </c>
      <c r="AN20" s="5">
        <f/>
        <v>2.5769186362006442</v>
      </c>
      <c r="AR20" s="5">
        <f t="shared" si="116"/>
        <v>6.9962036795402334</v>
      </c>
      <c r="AS20" s="5">
        <f t="shared" si="117"/>
        <v>7.4586245204961941</v>
      </c>
      <c r="AT20" s="5">
        <f t="shared" si="118"/>
        <v>2</v>
      </c>
      <c r="AU20" s="5">
        <f t="shared" si="119"/>
        <v>2.0011741366167173</v>
      </c>
      <c r="AV20" s="5">
        <f t="shared" si="120"/>
        <v>14.173226733466512</v>
      </c>
      <c r="AW20" s="5">
        <f t="shared" si="121"/>
        <v>7.0889174011962535</v>
      </c>
      <c r="AX20" s="5">
        <f t="shared" si="122"/>
        <v>2.0882634018103152</v>
      </c>
      <c r="AY20" s="5">
        <f t="shared" si="123"/>
        <v>2.964979006424199</v>
      </c>
    </row>
    <row r="21" ht="18.75" customHeight="1">
      <c r="B21" s="4">
        <v>5</v>
      </c>
      <c r="C21" s="4">
        <v>0.16666666666666671</v>
      </c>
      <c r="D21" s="4">
        <v>1</v>
      </c>
      <c r="E21" s="4">
        <v>1</v>
      </c>
      <c r="F21" s="4">
        <v>0.25</v>
      </c>
      <c r="G21" s="4">
        <v>0.33333333333333331</v>
      </c>
      <c r="H21" s="4">
        <v>2</v>
      </c>
      <c r="I21" s="4">
        <v>9</v>
      </c>
      <c r="L21" s="5">
        <f t="shared" si="107"/>
        <v>0.26560424966799467</v>
      </c>
      <c r="M21" s="5">
        <f t="shared" si="108"/>
        <v>0.023497818059751603</v>
      </c>
      <c r="N21" s="5">
        <f t="shared" si="109"/>
        <v>0.063476070528967254</v>
      </c>
      <c r="O21" s="5">
        <f t="shared" si="110"/>
        <v>0.06324666198172875</v>
      </c>
      <c r="P21" s="5">
        <f t="shared" si="111"/>
        <v>0.0072639225181598066</v>
      </c>
      <c r="Q21" s="5">
        <f t="shared" si="112"/>
        <v>0.012433392539964476</v>
      </c>
      <c r="R21" s="5">
        <f t="shared" si="113"/>
        <v>0.18437900128040974</v>
      </c>
      <c r="S21" s="6">
        <f t="shared" si="114"/>
        <v>0.29999999999999999</v>
      </c>
      <c r="T21" s="5">
        <f t="shared" si="115"/>
        <v>0.11498763957212205</v>
      </c>
      <c r="W21" s="5">
        <f>1/Z18</f>
        <v>4.5320762664002512</v>
      </c>
      <c r="X21" s="5">
        <f>1/Z19</f>
        <v>0.094222944522563579</v>
      </c>
      <c r="Y21" s="5">
        <f>1/Z20</f>
        <v>1.034857773960796</v>
      </c>
      <c r="Z21" s="5">
        <v>1</v>
      </c>
      <c r="AA21" s="5">
        <f>(F21*$T$5)/T22</f>
        <v>0.4053858820649876</v>
      </c>
      <c r="AB21" s="5">
        <f>(G21*$T$5)/T23</f>
        <v>0.34223867263832614</v>
      </c>
      <c r="AC21" s="5">
        <f>(H21*$T$5)/T24</f>
        <v>1.3913488670625032</v>
      </c>
      <c r="AD21" s="5">
        <f>(I21*$T$5)/T25</f>
        <v>10.842856854082662</v>
      </c>
      <c r="AF21" s="2" t="s">
        <v>4</v>
      </c>
      <c r="AG21" s="5">
        <f/>
        <v>0.2206494200933389</v>
      </c>
      <c r="AH21" s="5">
        <f/>
        <v>10.613126187757061</v>
      </c>
      <c r="AI21" s="5">
        <f/>
        <v>0.96631636265592136</v>
      </c>
      <c r="AJ21" s="5">
        <f/>
        <v>1</v>
      </c>
      <c r="AK21" s="5">
        <f/>
        <v>2.4667854610676589</v>
      </c>
      <c r="AL21" s="5">
        <f/>
        <v>2.921937466303782</v>
      </c>
      <c r="AM21" s="5">
        <f/>
        <v>0.7187270020287998</v>
      </c>
      <c r="AN21" s="5">
        <f/>
        <v>0.092226616421987526</v>
      </c>
      <c r="AP21" s="8" t="s">
        <v>5</v>
      </c>
      <c r="AR21" s="5">
        <f t="shared" si="116"/>
        <v>4.7527256864935898</v>
      </c>
      <c r="AS21" s="5">
        <f t="shared" si="117"/>
        <v>10.707349132279624</v>
      </c>
      <c r="AT21" s="5">
        <f t="shared" si="118"/>
        <v>2.0011741366167173</v>
      </c>
      <c r="AU21" s="5">
        <f t="shared" si="119"/>
        <v>2</v>
      </c>
      <c r="AV21" s="5">
        <f t="shared" si="120"/>
        <v>2.8721713431326465</v>
      </c>
      <c r="AW21" s="5">
        <f t="shared" si="121"/>
        <v>3.264176138942108</v>
      </c>
      <c r="AX21" s="5">
        <f t="shared" si="122"/>
        <v>2.1100758690913031</v>
      </c>
      <c r="AY21" s="5">
        <f t="shared" si="123"/>
        <v>10.935083470504649</v>
      </c>
    </row>
    <row r="22">
      <c r="B22" s="4">
        <v>0.125</v>
      </c>
      <c r="C22" s="4">
        <v>0.14285714285714279</v>
      </c>
      <c r="D22" s="4">
        <v>0.1111111111111111</v>
      </c>
      <c r="E22" s="4">
        <v>4</v>
      </c>
      <c r="F22" s="4">
        <v>1</v>
      </c>
      <c r="G22" s="4">
        <v>0.14285714285714279</v>
      </c>
      <c r="H22" s="4">
        <v>0.5</v>
      </c>
      <c r="I22" s="4">
        <v>6</v>
      </c>
      <c r="L22" s="5">
        <f t="shared" si="107"/>
        <v>0.0066401062416998674</v>
      </c>
      <c r="M22" s="5">
        <f t="shared" si="108"/>
        <v>0.020140986908358503</v>
      </c>
      <c r="N22" s="5">
        <f t="shared" si="109"/>
        <v>0.0070528967254408059</v>
      </c>
      <c r="O22" s="5">
        <f t="shared" si="110"/>
        <v>0.252986647926915</v>
      </c>
      <c r="P22" s="5">
        <f t="shared" si="111"/>
        <v>0.029055690072639227</v>
      </c>
      <c r="Q22" s="5">
        <f t="shared" si="112"/>
        <v>0.0053285968028419159</v>
      </c>
      <c r="R22" s="5">
        <f t="shared" si="113"/>
        <v>0.046094750320102434</v>
      </c>
      <c r="S22" s="6">
        <f t="shared" si="114"/>
        <v>0.20000000000000001</v>
      </c>
      <c r="T22" s="5">
        <f t="shared" si="115"/>
        <v>0.070912459374749715</v>
      </c>
      <c r="W22" s="5">
        <f>1/AA18</f>
        <v>0.069872874015037126</v>
      </c>
      <c r="X22" s="5">
        <f>1/AA19</f>
        <v>0.049805954924409514</v>
      </c>
      <c r="Y22" s="5">
        <f>1/AA20</f>
        <v>0.070910336418870359</v>
      </c>
      <c r="Z22" s="5">
        <f>1/AA21</f>
        <v>2.4667854610676589</v>
      </c>
      <c r="AA22" s="5">
        <v>1</v>
      </c>
      <c r="AB22" s="5">
        <f>(G22*$T$6)/T23</f>
        <v>0.090453148058498203</v>
      </c>
      <c r="AC22" s="5">
        <f>(H22*$T$6)/T24</f>
        <v>0.21450994728392137</v>
      </c>
      <c r="AD22" s="5">
        <f>(I22*$T$6)/T25</f>
        <v>4.4578336073481539</v>
      </c>
      <c r="AG22" s="5">
        <f/>
        <v>14.311705566666591</v>
      </c>
      <c r="AH22" s="5">
        <f/>
        <v>20.077920431757601</v>
      </c>
      <c r="AI22" s="5">
        <f/>
        <v>14.102316397047639</v>
      </c>
      <c r="AJ22" s="5">
        <f/>
        <v>0.4053858820649876</v>
      </c>
      <c r="AK22" s="5">
        <f/>
        <v>1</v>
      </c>
      <c r="AL22" s="5">
        <f/>
        <v>11.055447173085399</v>
      </c>
      <c r="AM22" s="5">
        <f/>
        <v>4.6617884749019058</v>
      </c>
      <c r="AN22" s="5">
        <f/>
        <v>0.22432420948858009</v>
      </c>
      <c r="AR22" s="5">
        <f t="shared" si="116"/>
        <v>14.381578440681627</v>
      </c>
      <c r="AS22" s="13">
        <f t="shared" si="117"/>
        <v>20.12772638668201</v>
      </c>
      <c r="AT22" s="5">
        <f t="shared" si="118"/>
        <v>14.17322673346651</v>
      </c>
      <c r="AU22" s="5">
        <f t="shared" si="119"/>
        <v>2.8721713431326465</v>
      </c>
      <c r="AV22" s="5">
        <f t="shared" si="120"/>
        <v>2</v>
      </c>
      <c r="AW22" s="5">
        <f t="shared" si="121"/>
        <v>11.145900321143898</v>
      </c>
      <c r="AX22" s="5">
        <f t="shared" si="122"/>
        <v>4.876298422185827</v>
      </c>
      <c r="AY22" s="5">
        <f t="shared" si="123"/>
        <v>4.6821578168367344</v>
      </c>
    </row>
    <row r="23">
      <c r="B23" s="4">
        <v>0.33333333333333331</v>
      </c>
      <c r="C23" s="4">
        <v>3</v>
      </c>
      <c r="D23" s="4">
        <v>0.14285714285714279</v>
      </c>
      <c r="E23" s="4">
        <v>3</v>
      </c>
      <c r="F23" s="4">
        <v>7</v>
      </c>
      <c r="G23" s="4">
        <v>1</v>
      </c>
      <c r="H23" s="4">
        <v>0.1111111111111111</v>
      </c>
      <c r="I23" s="4">
        <v>0.16666666666666671</v>
      </c>
      <c r="L23" s="5">
        <f t="shared" si="107"/>
        <v>0.017706949977866312</v>
      </c>
      <c r="M23" s="5">
        <f t="shared" si="108"/>
        <v>0.42296072507552873</v>
      </c>
      <c r="N23" s="5">
        <f t="shared" si="109"/>
        <v>0.0090680100755667469</v>
      </c>
      <c r="O23" s="5">
        <f t="shared" si="110"/>
        <v>0.18973998594518623</v>
      </c>
      <c r="P23" s="5">
        <f t="shared" si="111"/>
        <v>0.20338983050847459</v>
      </c>
      <c r="Q23" s="5">
        <f t="shared" si="112"/>
        <v>0.037300177619893425</v>
      </c>
      <c r="R23" s="5">
        <f t="shared" si="113"/>
        <v>0.010243277848911651</v>
      </c>
      <c r="S23" s="6">
        <f t="shared" si="114"/>
        <v>0.0055555555555555575</v>
      </c>
      <c r="T23" s="5">
        <f t="shared" si="115"/>
        <v>0.11199556407587291</v>
      </c>
      <c r="W23" s="5">
        <f>1/AB18</f>
        <v>0.29427652095424567</v>
      </c>
      <c r="X23" s="5">
        <f>1/AB19</f>
        <v>1.6518813107156469</v>
      </c>
      <c r="Y23" s="5">
        <f>1/AB20</f>
        <v>0.14398998581103711</v>
      </c>
      <c r="Z23" s="5">
        <f>1/AB21</f>
        <v>2.9219374663037816</v>
      </c>
      <c r="AA23" s="5">
        <f>1/AB22</f>
        <v>11.05544717308541</v>
      </c>
      <c r="AB23" s="5">
        <v>1</v>
      </c>
      <c r="AC23" s="5">
        <f>(H23*$T$7)/T24</f>
        <v>0.075285821914245321</v>
      </c>
      <c r="AD23" s="5">
        <f>(I23*$T$7)/T25</f>
        <v>0.19556882520810426</v>
      </c>
      <c r="AG23" s="5">
        <f/>
        <v>3.3981644093022321</v>
      </c>
      <c r="AH23" s="5">
        <f/>
        <v>0.60537036984017245</v>
      </c>
      <c r="AI23" s="5">
        <f/>
        <v>6.9449274153852167</v>
      </c>
      <c r="AJ23" s="5">
        <f/>
        <v>0.34223867263832608</v>
      </c>
      <c r="AK23" s="5">
        <f/>
        <v>0.090453148058498245</v>
      </c>
      <c r="AL23" s="5">
        <f/>
        <v>1</v>
      </c>
      <c r="AM23" s="5">
        <f/>
        <v>13.282713458837639</v>
      </c>
      <c r="AN23" s="5">
        <f/>
        <v>5.1132893953619796</v>
      </c>
      <c r="AR23" s="5">
        <f t="shared" si="116"/>
        <v>3.6924409302564776</v>
      </c>
      <c r="AS23" s="5">
        <f t="shared" si="117"/>
        <v>2.2572516805558194</v>
      </c>
      <c r="AT23" s="5">
        <f t="shared" si="118"/>
        <v>7.0889174011962535</v>
      </c>
      <c r="AU23" s="5">
        <f t="shared" si="119"/>
        <v>3.2641761389421076</v>
      </c>
      <c r="AV23" s="5">
        <f t="shared" si="120"/>
        <v>11.145900321143909</v>
      </c>
      <c r="AW23" s="5">
        <f t="shared" si="121"/>
        <v>2</v>
      </c>
      <c r="AX23" s="5">
        <f t="shared" si="122"/>
        <v>13.357999280751885</v>
      </c>
      <c r="AY23" s="5">
        <f t="shared" si="123"/>
        <v>5.3088582205700838</v>
      </c>
    </row>
    <row r="24">
      <c r="B24" s="4">
        <v>9</v>
      </c>
      <c r="C24" s="4">
        <v>0.20000000000000001</v>
      </c>
      <c r="D24" s="4">
        <v>0.5</v>
      </c>
      <c r="E24" s="4">
        <v>0.5</v>
      </c>
      <c r="F24" s="4">
        <v>2</v>
      </c>
      <c r="G24" s="4">
        <v>9</v>
      </c>
      <c r="H24" s="4">
        <v>1</v>
      </c>
      <c r="I24" s="4">
        <v>8</v>
      </c>
      <c r="L24" s="5">
        <f t="shared" si="107"/>
        <v>0.47808764940239046</v>
      </c>
      <c r="M24" s="5">
        <f t="shared" si="108"/>
        <v>0.028197381671701917</v>
      </c>
      <c r="N24" s="5">
        <f t="shared" si="109"/>
        <v>0.031738035264483627</v>
      </c>
      <c r="O24" s="5">
        <f t="shared" si="110"/>
        <v>0.031623330990864375</v>
      </c>
      <c r="P24" s="5">
        <f t="shared" si="111"/>
        <v>0.058111380145278453</v>
      </c>
      <c r="Q24" s="5">
        <f t="shared" si="112"/>
        <v>0.33570159857904086</v>
      </c>
      <c r="R24" s="5">
        <f t="shared" si="113"/>
        <v>0.092189500640204869</v>
      </c>
      <c r="S24" s="6">
        <f t="shared" si="114"/>
        <v>0.26666666666666666</v>
      </c>
      <c r="T24" s="5">
        <f t="shared" si="115"/>
        <v>0.16528944292007891</v>
      </c>
      <c r="W24" s="5">
        <f>1/AC18</f>
        <v>11.726372116496625</v>
      </c>
      <c r="X24" s="5">
        <f>1/AC19</f>
        <v>0.16252937865366729</v>
      </c>
      <c r="Y24" s="5">
        <f>1/AC20</f>
        <v>0.74378022540504019</v>
      </c>
      <c r="Z24" s="5">
        <f>1/AC21</f>
        <v>0.7187270020287998</v>
      </c>
      <c r="AA24" s="5">
        <f>1/AC22</f>
        <v>4.6617884749019058</v>
      </c>
      <c r="AB24" s="5">
        <f>1/AC23</f>
        <v>13.282713458837639</v>
      </c>
      <c r="AC24" s="5">
        <v>1</v>
      </c>
      <c r="AD24" s="5">
        <f>(I24*T24)/T25</f>
        <v>13.854318222510674</v>
      </c>
      <c r="AG24" s="5">
        <f/>
        <v>0.085277866851351497</v>
      </c>
      <c r="AH24" s="5">
        <f/>
        <v>6.1527337905529871</v>
      </c>
      <c r="AI24" s="5">
        <f/>
        <v>1.3444831764052749</v>
      </c>
      <c r="AJ24" s="5">
        <f/>
        <v>1.3913488670625029</v>
      </c>
      <c r="AK24" s="5">
        <f/>
        <v>0.21450994728392139</v>
      </c>
      <c r="AL24" s="5">
        <f/>
        <v>0.075285821914245321</v>
      </c>
      <c r="AM24" s="5">
        <f/>
        <v>1</v>
      </c>
      <c r="AN24" s="5">
        <f/>
        <v>0.072179661527853975</v>
      </c>
      <c r="AR24" s="5">
        <f t="shared" si="116"/>
        <v>11.811649983347976</v>
      </c>
      <c r="AS24" s="5">
        <f t="shared" si="117"/>
        <v>6.3152631692066548</v>
      </c>
      <c r="AT24" s="5">
        <f t="shared" si="118"/>
        <v>2.0882634018103152</v>
      </c>
      <c r="AU24" s="5">
        <f t="shared" si="119"/>
        <v>2.1100758690913026</v>
      </c>
      <c r="AV24" s="5">
        <f t="shared" si="120"/>
        <v>4.876298422185827</v>
      </c>
      <c r="AW24" s="5">
        <f t="shared" si="121"/>
        <v>13.357999280751885</v>
      </c>
      <c r="AX24" s="5">
        <f t="shared" si="122"/>
        <v>2</v>
      </c>
      <c r="AY24" s="5">
        <f t="shared" si="123"/>
        <v>13.926497884038527</v>
      </c>
    </row>
    <row r="25">
      <c r="B25" s="10">
        <v>0.20000000000000001</v>
      </c>
      <c r="C25" s="10">
        <v>2</v>
      </c>
      <c r="D25" s="10">
        <v>3</v>
      </c>
      <c r="E25" s="10">
        <v>0.1111111111111111</v>
      </c>
      <c r="F25" s="10">
        <v>0.16666666666666671</v>
      </c>
      <c r="G25" s="10">
        <v>6</v>
      </c>
      <c r="H25" s="10">
        <v>0.125</v>
      </c>
      <c r="I25" s="10">
        <v>1</v>
      </c>
      <c r="L25" s="5">
        <f t="shared" si="107"/>
        <v>0.010624169986719788</v>
      </c>
      <c r="M25" s="5">
        <f t="shared" si="108"/>
        <v>0.28197381671701915</v>
      </c>
      <c r="N25" s="5">
        <f t="shared" si="109"/>
        <v>0.19042821158690176</v>
      </c>
      <c r="O25" s="5">
        <f t="shared" si="110"/>
        <v>0.0070274068868587496</v>
      </c>
      <c r="P25" s="5">
        <f t="shared" si="111"/>
        <v>0.0048426150121065395</v>
      </c>
      <c r="Q25" s="5">
        <f t="shared" si="112"/>
        <v>0.22380106571936056</v>
      </c>
      <c r="R25" s="5">
        <f t="shared" si="113"/>
        <v>0.011523687580025609</v>
      </c>
      <c r="S25" s="6">
        <f t="shared" si="114"/>
        <v>0.033333333333333333</v>
      </c>
      <c r="T25" s="5">
        <f t="shared" si="115"/>
        <v>0.095444288352790688</v>
      </c>
      <c r="W25" s="5">
        <f>1/AD18</f>
        <v>0.15047210138993616</v>
      </c>
      <c r="X25" s="5">
        <f>1/AD19</f>
        <v>0.93850524316432948</v>
      </c>
      <c r="Y25" s="5">
        <f>1/AD20</f>
        <v>2.5769186362006438</v>
      </c>
      <c r="Z25" s="5">
        <f>1/AD21</f>
        <v>0.092226616421987526</v>
      </c>
      <c r="AA25" s="5">
        <f>1/AD22</f>
        <v>0.22432420948858009</v>
      </c>
      <c r="AB25" s="5">
        <f>1/AD23</f>
        <v>5.1132893953619787</v>
      </c>
      <c r="AC25" s="5">
        <f>1/AD24</f>
        <v>0.072179661527853975</v>
      </c>
      <c r="AD25" s="5">
        <v>1</v>
      </c>
      <c r="AG25" s="5">
        <f/>
        <v>6.6457502139122893</v>
      </c>
      <c r="AH25" s="5">
        <f/>
        <v>1.0655241484089431</v>
      </c>
      <c r="AI25" s="5">
        <f/>
        <v>0.38806037022355488</v>
      </c>
      <c r="AJ25" s="5">
        <f/>
        <v>10.84285685408266</v>
      </c>
      <c r="AK25" s="5">
        <f/>
        <v>4.4578336073481539</v>
      </c>
      <c r="AL25" s="5">
        <f/>
        <v>0.1955688252081042</v>
      </c>
      <c r="AM25" s="5">
        <f/>
        <v>13.85431822251067</v>
      </c>
      <c r="AN25" s="5">
        <f/>
        <v>1</v>
      </c>
      <c r="AR25" s="5">
        <f t="shared" si="116"/>
        <v>6.7962223153022254</v>
      </c>
      <c r="AS25" s="5">
        <f t="shared" si="117"/>
        <v>2.0040293915732725</v>
      </c>
      <c r="AT25" s="5">
        <f t="shared" si="118"/>
        <v>2.9649790064241985</v>
      </c>
      <c r="AU25" s="5">
        <f t="shared" si="119"/>
        <v>10.935083470504647</v>
      </c>
      <c r="AV25" s="5">
        <f t="shared" si="120"/>
        <v>4.6821578168367344</v>
      </c>
      <c r="AW25" s="5">
        <f t="shared" si="121"/>
        <v>5.3088582205700829</v>
      </c>
      <c r="AX25" s="5">
        <f t="shared" si="122"/>
        <v>13.926497884038524</v>
      </c>
      <c r="AY25" s="5">
        <f t="shared" si="123"/>
        <v>2</v>
      </c>
    </row>
    <row r="26">
      <c r="A26" s="2" t="s">
        <v>6</v>
      </c>
      <c r="B26" s="11">
        <f>SUM(B18:B25)</f>
        <v>18.824999999999999</v>
      </c>
      <c r="C26" s="11">
        <f>SUM(C18:C25)</f>
        <v>7.0928571428571425</v>
      </c>
      <c r="D26" s="11">
        <f>SUM(D18:D25)</f>
        <v>15.753968253968253</v>
      </c>
      <c r="E26" s="11">
        <f>SUM(E18:E25)</f>
        <v>15.81111111111111</v>
      </c>
      <c r="F26" s="11">
        <f>SUM(F18:F25)</f>
        <v>34.416666666666664</v>
      </c>
      <c r="G26" s="11">
        <f>SUM(G18:G25)</f>
        <v>26.80952380952381</v>
      </c>
      <c r="H26" s="11">
        <f>SUM(H18:H25)</f>
        <v>10.847222222222221</v>
      </c>
      <c r="I26" s="11">
        <f>SUM(I18:I25)</f>
        <v>30</v>
      </c>
    </row>
    <row r="28">
      <c r="B28" s="2" t="s">
        <v>7</v>
      </c>
      <c r="C28" s="2">
        <f>B26*T18+C26*T19+D26*T20+E26*T21+F26*T22+G26*T23+H26*T24+I26*T25</f>
        <v>17.498750737848948</v>
      </c>
    </row>
    <row r="29">
      <c r="B29" s="2" t="s">
        <v>8</v>
      </c>
      <c r="C29" s="2">
        <f>(C28-8)/7</f>
        <v>1.3569643911212783</v>
      </c>
    </row>
    <row r="30">
      <c r="B30" s="2" t="s">
        <v>9</v>
      </c>
      <c r="C30" s="2">
        <f>C29/1.41</f>
        <v>0.9623860929938145</v>
      </c>
    </row>
    <row r="32">
      <c r="A32" s="2" t="s">
        <v>19</v>
      </c>
    </row>
    <row r="33">
      <c r="T33" s="12" t="s">
        <v>3</v>
      </c>
    </row>
    <row r="34">
      <c r="B34" s="4">
        <v>1</v>
      </c>
      <c r="C34" s="4">
        <v>0.33333333333333331</v>
      </c>
      <c r="D34" s="4">
        <v>6</v>
      </c>
      <c r="E34" s="4">
        <v>0.20000000000000001</v>
      </c>
      <c r="F34" s="4">
        <v>8</v>
      </c>
      <c r="G34" s="4">
        <v>3</v>
      </c>
      <c r="H34" s="4">
        <v>0.1111111111111111</v>
      </c>
      <c r="I34" s="4">
        <v>5</v>
      </c>
      <c r="L34" s="5">
        <f t="shared" si="107"/>
        <v>0.053120849933598939</v>
      </c>
      <c r="M34" s="5">
        <f t="shared" si="108"/>
        <v>0.046995636119503185</v>
      </c>
      <c r="N34" s="5">
        <f t="shared" si="109"/>
        <v>0.38085642317380353</v>
      </c>
      <c r="O34" s="5">
        <f t="shared" si="110"/>
        <v>0.012649332396345751</v>
      </c>
      <c r="P34" s="5">
        <f t="shared" si="111"/>
        <v>0.23244552058111381</v>
      </c>
      <c r="Q34" s="5">
        <f t="shared" si="112"/>
        <v>0.11190053285968028</v>
      </c>
      <c r="R34" s="5">
        <f t="shared" si="113"/>
        <v>0.010243277848911651</v>
      </c>
      <c r="S34" s="6">
        <f t="shared" si="114"/>
        <v>0.16666666666666666</v>
      </c>
      <c r="T34" s="5">
        <f t="shared" si="115"/>
        <v>0.12685977994745298</v>
      </c>
      <c r="W34" s="5">
        <v>1</v>
      </c>
      <c r="X34" s="5">
        <f>(C34*$T$2)/T35</f>
        <v>0.23284976549932898</v>
      </c>
      <c r="Y34" s="5">
        <f>(D34*$T$2)/T36</f>
        <v>6.8502230311059957</v>
      </c>
      <c r="Z34" s="5">
        <f>(E34*$T$2)/T37</f>
        <v>0.2206494200933389</v>
      </c>
      <c r="AA34" s="5">
        <f>(F34*$T$2)/T38</f>
        <v>11.798412950025687</v>
      </c>
      <c r="AB34" s="5">
        <f>(G34*$T$2)/T39</f>
        <v>3.3981644093022316</v>
      </c>
      <c r="AC34" s="5">
        <f>(H34*$T$2)/T40</f>
        <v>0.085277866851351497</v>
      </c>
      <c r="AD34" s="5">
        <f>(I34*$T$2)/T41</f>
        <v>6.6457502139122893</v>
      </c>
      <c r="AG34" s="5">
        <f t="array" ref="AG34:AN41">TRANSPOSE(W34:AD41)</f>
        <v>1</v>
      </c>
      <c r="AH34" s="5">
        <f/>
        <v>4.2946145891775949</v>
      </c>
      <c r="AI34" s="5">
        <f/>
        <v>0.1459806484342373</v>
      </c>
      <c r="AJ34" s="5">
        <f/>
        <v>4.5320762664002512</v>
      </c>
      <c r="AK34" s="5">
        <f/>
        <v>0.084757162190854052</v>
      </c>
      <c r="AL34" s="5">
        <f/>
        <v>0.29427652095424572</v>
      </c>
      <c r="AM34" s="5">
        <f/>
        <v>11.726372116496631</v>
      </c>
      <c r="AN34" s="5">
        <f/>
        <v>0.15047210138993619</v>
      </c>
      <c r="AR34" s="5">
        <f t="shared" si="116"/>
        <v>2</v>
      </c>
      <c r="AS34" s="5">
        <f t="shared" si="117"/>
        <v>4.5274643546769235</v>
      </c>
      <c r="AT34" s="5">
        <f t="shared" si="118"/>
        <v>6.9962036795402334</v>
      </c>
      <c r="AU34" s="5">
        <f t="shared" si="119"/>
        <v>4.7527256864935898</v>
      </c>
      <c r="AV34" s="5">
        <f t="shared" si="120"/>
        <v>11.883170112216542</v>
      </c>
      <c r="AW34" s="5">
        <f t="shared" si="121"/>
        <v>3.6924409302564776</v>
      </c>
      <c r="AX34" s="5">
        <f t="shared" si="122"/>
        <v>11.811649983347982</v>
      </c>
      <c r="AY34" s="5">
        <f t="shared" si="123"/>
        <v>6.7962223153022254</v>
      </c>
    </row>
    <row r="35">
      <c r="B35" s="4">
        <v>3</v>
      </c>
      <c r="C35" s="4">
        <v>1</v>
      </c>
      <c r="D35" s="4">
        <v>4</v>
      </c>
      <c r="E35" s="4">
        <v>6</v>
      </c>
      <c r="F35" s="4">
        <v>1</v>
      </c>
      <c r="G35" s="4">
        <v>0.33333333333333331</v>
      </c>
      <c r="H35" s="4">
        <v>5</v>
      </c>
      <c r="I35" s="4">
        <v>0.5</v>
      </c>
      <c r="L35" s="5">
        <f t="shared" si="107"/>
        <v>0.15936254980079681</v>
      </c>
      <c r="M35" s="5">
        <f t="shared" si="108"/>
        <v>0.14098690835850958</v>
      </c>
      <c r="N35" s="5">
        <f t="shared" si="109"/>
        <v>0.25390428211586902</v>
      </c>
      <c r="O35" s="5">
        <f t="shared" si="110"/>
        <v>0.37947997189037247</v>
      </c>
      <c r="P35" s="5">
        <f t="shared" si="111"/>
        <v>0.029055690072639227</v>
      </c>
      <c r="Q35" s="5">
        <f t="shared" si="112"/>
        <v>0.012433392539964476</v>
      </c>
      <c r="R35" s="5">
        <f t="shared" si="113"/>
        <v>0.46094750320102434</v>
      </c>
      <c r="S35" s="6">
        <f t="shared" si="114"/>
        <v>0.016666666666666666</v>
      </c>
      <c r="T35" s="5">
        <f t="shared" si="115"/>
        <v>0.18160462058073029</v>
      </c>
      <c r="W35" s="5">
        <f>1/X34</f>
        <v>4.2946145891775949</v>
      </c>
      <c r="X35" s="5">
        <v>1</v>
      </c>
      <c r="Y35" s="5">
        <f>(D35*$T$3)/T36</f>
        <v>7.3220507609515328</v>
      </c>
      <c r="Z35" s="5">
        <f>(E35*$T$3)/T37</f>
        <v>10.613126187757059</v>
      </c>
      <c r="AA35" s="5">
        <f>(F35*$T$3)/T38</f>
        <v>2.3645738830275054</v>
      </c>
      <c r="AB35" s="5">
        <f>(G35*$T$3)/T39</f>
        <v>0.60537036984017245</v>
      </c>
      <c r="AC35" s="5">
        <f>(H35*$T$3)/T40</f>
        <v>6.1527337905529871</v>
      </c>
      <c r="AD35" s="5">
        <f>(I35*$T$3)/T41</f>
        <v>1.0655241484089428</v>
      </c>
      <c r="AG35" s="5">
        <f/>
        <v>0.23284976549932901</v>
      </c>
      <c r="AH35" s="5">
        <f/>
        <v>1</v>
      </c>
      <c r="AI35" s="5">
        <f/>
        <v>0.13657375954466139</v>
      </c>
      <c r="AJ35" s="5">
        <f/>
        <v>0.094222944522563579</v>
      </c>
      <c r="AK35" s="5">
        <f/>
        <v>0.42290917918776982</v>
      </c>
      <c r="AL35" s="5">
        <f/>
        <v>1.6518813107156469</v>
      </c>
      <c r="AM35" s="5">
        <f/>
        <v>0.16252937865366729</v>
      </c>
      <c r="AN35" s="5">
        <f/>
        <v>0.93850524316432948</v>
      </c>
      <c r="AR35" s="5">
        <f t="shared" si="116"/>
        <v>4.5274643546769235</v>
      </c>
      <c r="AS35" s="5">
        <f t="shared" si="117"/>
        <v>2</v>
      </c>
      <c r="AT35" s="5">
        <f t="shared" si="118"/>
        <v>7.4586245204961941</v>
      </c>
      <c r="AU35" s="5">
        <f t="shared" si="119"/>
        <v>10.707349132279623</v>
      </c>
      <c r="AV35" s="5">
        <f t="shared" si="120"/>
        <v>2.7874830622152751</v>
      </c>
      <c r="AW35" s="5">
        <f t="shared" si="121"/>
        <v>2.2572516805558194</v>
      </c>
      <c r="AX35" s="5">
        <f t="shared" si="122"/>
        <v>6.3152631692066548</v>
      </c>
      <c r="AY35" s="5">
        <f t="shared" si="123"/>
        <v>2.0040293915732725</v>
      </c>
    </row>
    <row r="36">
      <c r="B36" s="4">
        <v>0.16666666666666671</v>
      </c>
      <c r="C36" s="4">
        <v>0.25</v>
      </c>
      <c r="D36" s="4">
        <v>1</v>
      </c>
      <c r="E36" s="4">
        <v>1</v>
      </c>
      <c r="F36" s="4">
        <v>9</v>
      </c>
      <c r="G36" s="4">
        <v>7</v>
      </c>
      <c r="H36" s="4">
        <v>2</v>
      </c>
      <c r="I36" s="4">
        <v>0.33333333333333331</v>
      </c>
      <c r="L36" s="5">
        <f t="shared" si="107"/>
        <v>0.0088534749889331594</v>
      </c>
      <c r="M36" s="5">
        <f t="shared" si="108"/>
        <v>0.035246727089627394</v>
      </c>
      <c r="N36" s="5">
        <f t="shared" si="109"/>
        <v>0.063476070528967254</v>
      </c>
      <c r="O36" s="5">
        <f t="shared" si="110"/>
        <v>0.06324666198172875</v>
      </c>
      <c r="P36" s="5">
        <f t="shared" si="111"/>
        <v>0.26150121065375304</v>
      </c>
      <c r="Q36" s="5">
        <f t="shared" si="112"/>
        <v>0.261101243339254</v>
      </c>
      <c r="R36" s="5">
        <f t="shared" si="113"/>
        <v>0.18437900128040974</v>
      </c>
      <c r="S36" s="6">
        <f t="shared" si="114"/>
        <v>0.01111111111111111</v>
      </c>
      <c r="T36" s="5">
        <f t="shared" si="115"/>
        <v>0.11111443762172306</v>
      </c>
      <c r="W36" s="5">
        <f>1/Y34</f>
        <v>0.14598064843423733</v>
      </c>
      <c r="X36" s="5">
        <f>1/Y35</f>
        <v>0.13657375954466144</v>
      </c>
      <c r="Y36" s="5">
        <v>1</v>
      </c>
      <c r="Z36" s="5">
        <f>(E36*$T$4)/T37</f>
        <v>0.96631636265592136</v>
      </c>
      <c r="AA36" s="5">
        <f>(F36*$T$4)/T38</f>
        <v>11.625794817342657</v>
      </c>
      <c r="AB36" s="5">
        <f>(G36*$T$4)/T39</f>
        <v>6.9449274153852167</v>
      </c>
      <c r="AC36" s="5">
        <f>(H36*$T$4)/T40</f>
        <v>1.3444831764052751</v>
      </c>
      <c r="AD36" s="5">
        <f>(I36*$T$4)/T41</f>
        <v>0.38806037022355488</v>
      </c>
      <c r="AG36" s="5">
        <f/>
        <v>6.8502230311059957</v>
      </c>
      <c r="AH36" s="5">
        <f/>
        <v>7.3220507609515328</v>
      </c>
      <c r="AI36" s="5">
        <f/>
        <v>1</v>
      </c>
      <c r="AJ36" s="5">
        <f/>
        <v>1.034857773960796</v>
      </c>
      <c r="AK36" s="5">
        <f/>
        <v>0.086015624369033289</v>
      </c>
      <c r="AL36" s="5">
        <f/>
        <v>0.14398998581103711</v>
      </c>
      <c r="AM36" s="5">
        <f/>
        <v>0.74378022540504019</v>
      </c>
      <c r="AN36" s="5">
        <f/>
        <v>2.5769186362006442</v>
      </c>
      <c r="AR36" s="5">
        <f t="shared" si="116"/>
        <v>6.9962036795402334</v>
      </c>
      <c r="AS36" s="5">
        <f t="shared" si="117"/>
        <v>7.4586245204961941</v>
      </c>
      <c r="AT36" s="5">
        <f t="shared" si="118"/>
        <v>2</v>
      </c>
      <c r="AU36" s="5">
        <f t="shared" si="119"/>
        <v>2.0011741366167173</v>
      </c>
      <c r="AV36" s="5">
        <f t="shared" si="120"/>
        <v>11.711810441711689</v>
      </c>
      <c r="AW36" s="5">
        <f t="shared" si="121"/>
        <v>7.0889174011962535</v>
      </c>
      <c r="AX36" s="5">
        <f t="shared" si="122"/>
        <v>2.0882634018103152</v>
      </c>
      <c r="AY36" s="5">
        <f t="shared" si="123"/>
        <v>2.964979006424199</v>
      </c>
    </row>
    <row r="37" ht="18.75" customHeight="1">
      <c r="B37" s="4">
        <v>5</v>
      </c>
      <c r="C37" s="4">
        <v>0.16666666666666671</v>
      </c>
      <c r="D37" s="4">
        <v>1</v>
      </c>
      <c r="E37" s="4">
        <v>1</v>
      </c>
      <c r="F37" s="4">
        <v>0.25</v>
      </c>
      <c r="G37" s="4">
        <v>0.33333333333333331</v>
      </c>
      <c r="H37" s="4">
        <v>2</v>
      </c>
      <c r="I37" s="4">
        <v>9</v>
      </c>
      <c r="L37" s="5">
        <f t="shared" si="107"/>
        <v>0.26560424966799467</v>
      </c>
      <c r="M37" s="5">
        <f t="shared" si="108"/>
        <v>0.023497818059751603</v>
      </c>
      <c r="N37" s="5">
        <f t="shared" si="109"/>
        <v>0.063476070528967254</v>
      </c>
      <c r="O37" s="5">
        <f t="shared" si="110"/>
        <v>0.06324666198172875</v>
      </c>
      <c r="P37" s="5">
        <f t="shared" si="111"/>
        <v>0.0072639225181598066</v>
      </c>
      <c r="Q37" s="5">
        <f t="shared" si="112"/>
        <v>0.012433392539964476</v>
      </c>
      <c r="R37" s="5">
        <f t="shared" si="113"/>
        <v>0.18437900128040974</v>
      </c>
      <c r="S37" s="6">
        <f t="shared" si="114"/>
        <v>0.29999999999999999</v>
      </c>
      <c r="T37" s="5">
        <f t="shared" si="115"/>
        <v>0.11498763957212205</v>
      </c>
      <c r="W37" s="5">
        <f>1/Z34</f>
        <v>4.5320762664002512</v>
      </c>
      <c r="X37" s="5">
        <f>1/Z35</f>
        <v>0.094222944522563579</v>
      </c>
      <c r="Y37" s="5">
        <f>1/Z36</f>
        <v>1.034857773960796</v>
      </c>
      <c r="Z37" s="5">
        <v>1</v>
      </c>
      <c r="AA37" s="5">
        <f>(F37*$T$5)/T38</f>
        <v>0.334195670700005</v>
      </c>
      <c r="AB37" s="5">
        <f>(G37*$T$5)/T39</f>
        <v>0.34223867263832614</v>
      </c>
      <c r="AC37" s="5">
        <f>(H37*$T$5)/T40</f>
        <v>1.3913488670625032</v>
      </c>
      <c r="AD37" s="5">
        <f>(I37*$T$5)/T41</f>
        <v>10.842856854082662</v>
      </c>
      <c r="AF37" s="2" t="s">
        <v>4</v>
      </c>
      <c r="AG37" s="5">
        <f/>
        <v>0.2206494200933389</v>
      </c>
      <c r="AH37" s="5">
        <f/>
        <v>10.613126187757061</v>
      </c>
      <c r="AI37" s="5">
        <f/>
        <v>0.96631636265592136</v>
      </c>
      <c r="AJ37" s="5">
        <f/>
        <v>1</v>
      </c>
      <c r="AK37" s="5">
        <f/>
        <v>2.9922589897870422</v>
      </c>
      <c r="AL37" s="5">
        <f/>
        <v>2.921937466303782</v>
      </c>
      <c r="AM37" s="5">
        <f/>
        <v>0.7187270020287998</v>
      </c>
      <c r="AN37" s="5">
        <f/>
        <v>0.092226616421987526</v>
      </c>
      <c r="AP37" s="8" t="s">
        <v>5</v>
      </c>
      <c r="AR37" s="5">
        <f t="shared" si="116"/>
        <v>4.7527256864935898</v>
      </c>
      <c r="AS37" s="5">
        <f t="shared" si="117"/>
        <v>10.707349132279624</v>
      </c>
      <c r="AT37" s="5">
        <f t="shared" si="118"/>
        <v>2.0011741366167173</v>
      </c>
      <c r="AU37" s="5">
        <f t="shared" si="119"/>
        <v>2</v>
      </c>
      <c r="AV37" s="5">
        <f t="shared" si="120"/>
        <v>3.3264546604870473</v>
      </c>
      <c r="AW37" s="5">
        <f t="shared" si="121"/>
        <v>3.264176138942108</v>
      </c>
      <c r="AX37" s="5">
        <f t="shared" si="122"/>
        <v>2.1100758690913031</v>
      </c>
      <c r="AY37" s="5">
        <f t="shared" si="123"/>
        <v>10.935083470504649</v>
      </c>
    </row>
    <row r="38">
      <c r="B38" s="4">
        <v>0.125</v>
      </c>
      <c r="C38" s="4">
        <v>1</v>
      </c>
      <c r="D38" s="4">
        <v>0.1111111111111111</v>
      </c>
      <c r="E38" s="4">
        <v>4</v>
      </c>
      <c r="F38" s="4">
        <v>1</v>
      </c>
      <c r="G38" s="4">
        <v>0.14285714285714279</v>
      </c>
      <c r="H38" s="4">
        <v>0.5</v>
      </c>
      <c r="I38" s="4">
        <v>6</v>
      </c>
      <c r="L38" s="5">
        <f t="shared" si="107"/>
        <v>0.0066401062416998674</v>
      </c>
      <c r="M38" s="5">
        <f t="shared" si="108"/>
        <v>0.14098690835850958</v>
      </c>
      <c r="N38" s="5">
        <f t="shared" si="109"/>
        <v>0.0070528967254408059</v>
      </c>
      <c r="O38" s="5">
        <f t="shared" si="110"/>
        <v>0.252986647926915</v>
      </c>
      <c r="P38" s="5">
        <f t="shared" si="111"/>
        <v>0.029055690072639227</v>
      </c>
      <c r="Q38" s="5">
        <f t="shared" si="112"/>
        <v>0.0053285968028419159</v>
      </c>
      <c r="R38" s="5">
        <f t="shared" si="113"/>
        <v>0.046094750320102434</v>
      </c>
      <c r="S38" s="6">
        <f t="shared" si="114"/>
        <v>0.20000000000000001</v>
      </c>
      <c r="T38" s="5">
        <f t="shared" si="115"/>
        <v>0.08601819955601861</v>
      </c>
      <c r="W38" s="5">
        <f>1/AA34</f>
        <v>0.084757162190854052</v>
      </c>
      <c r="X38" s="5">
        <f>1/AA35</f>
        <v>0.42290917918776982</v>
      </c>
      <c r="Y38" s="5">
        <f>1/AA36</f>
        <v>0.086015624369033289</v>
      </c>
      <c r="Z38" s="5">
        <f>1/AA37</f>
        <v>2.9922589897870422</v>
      </c>
      <c r="AA38" s="5">
        <v>1</v>
      </c>
      <c r="AB38" s="5">
        <f>(G38*$T$6)/T39</f>
        <v>0.090453148058498203</v>
      </c>
      <c r="AC38" s="5">
        <f>(H38*$T$6)/T40</f>
        <v>0.21450994728392137</v>
      </c>
      <c r="AD38" s="5">
        <f>(I38*$T$6)/T41</f>
        <v>4.4578336073481539</v>
      </c>
      <c r="AG38" s="5">
        <f/>
        <v>11.798412950025689</v>
      </c>
      <c r="AH38" s="5">
        <f/>
        <v>2.3645738830275049</v>
      </c>
      <c r="AI38" s="5">
        <f/>
        <v>11.62579481734266</v>
      </c>
      <c r="AJ38" s="5">
        <f/>
        <v>0.334195670700005</v>
      </c>
      <c r="AK38" s="5">
        <f/>
        <v>1</v>
      </c>
      <c r="AL38" s="5">
        <f/>
        <v>11.055447173085399</v>
      </c>
      <c r="AM38" s="5">
        <f/>
        <v>4.6617884749019058</v>
      </c>
      <c r="AN38" s="5">
        <f/>
        <v>0.22432420948858009</v>
      </c>
      <c r="AR38" s="5">
        <f t="shared" si="116"/>
        <v>11.883170112216543</v>
      </c>
      <c r="AS38" s="5">
        <f t="shared" si="117"/>
        <v>2.7874830622152746</v>
      </c>
      <c r="AT38" s="5">
        <f t="shared" si="118"/>
        <v>11.711810441711693</v>
      </c>
      <c r="AU38" s="5">
        <f t="shared" si="119"/>
        <v>3.3264546604870473</v>
      </c>
      <c r="AV38" s="5">
        <f t="shared" si="120"/>
        <v>2</v>
      </c>
      <c r="AW38" s="5">
        <f t="shared" si="121"/>
        <v>11.145900321143898</v>
      </c>
      <c r="AX38" s="5">
        <f t="shared" si="122"/>
        <v>4.876298422185827</v>
      </c>
      <c r="AY38" s="5">
        <f t="shared" si="123"/>
        <v>4.6821578168367344</v>
      </c>
    </row>
    <row r="39">
      <c r="B39" s="4">
        <v>0.33333333333333331</v>
      </c>
      <c r="C39" s="4">
        <v>3</v>
      </c>
      <c r="D39" s="4">
        <v>0.14285714285714279</v>
      </c>
      <c r="E39" s="4">
        <v>3</v>
      </c>
      <c r="F39" s="4">
        <v>7</v>
      </c>
      <c r="G39" s="4">
        <v>1</v>
      </c>
      <c r="H39" s="4">
        <v>0.1111111111111111</v>
      </c>
      <c r="I39" s="4">
        <v>0.16666666666666671</v>
      </c>
      <c r="L39" s="5">
        <f t="shared" si="107"/>
        <v>0.017706949977866312</v>
      </c>
      <c r="M39" s="5">
        <f t="shared" si="108"/>
        <v>0.42296072507552873</v>
      </c>
      <c r="N39" s="5">
        <f t="shared" si="109"/>
        <v>0.0090680100755667469</v>
      </c>
      <c r="O39" s="5">
        <f t="shared" si="110"/>
        <v>0.18973998594518623</v>
      </c>
      <c r="P39" s="5">
        <f t="shared" si="111"/>
        <v>0.20338983050847459</v>
      </c>
      <c r="Q39" s="5">
        <f t="shared" si="112"/>
        <v>0.037300177619893425</v>
      </c>
      <c r="R39" s="5">
        <f t="shared" si="113"/>
        <v>0.010243277848911651</v>
      </c>
      <c r="S39" s="6">
        <f t="shared" si="114"/>
        <v>0.0055555555555555575</v>
      </c>
      <c r="T39" s="5">
        <f t="shared" si="115"/>
        <v>0.11199556407587291</v>
      </c>
      <c r="W39" s="5">
        <f>1/AB34</f>
        <v>0.29427652095424567</v>
      </c>
      <c r="X39" s="5">
        <f>1/AB35</f>
        <v>1.6518813107156469</v>
      </c>
      <c r="Y39" s="5">
        <f>1/AB36</f>
        <v>0.14398998581103711</v>
      </c>
      <c r="Z39" s="5">
        <f>1/AB37</f>
        <v>2.9219374663037816</v>
      </c>
      <c r="AA39" s="5">
        <f>1/AB38</f>
        <v>11.05544717308541</v>
      </c>
      <c r="AB39" s="5">
        <v>1</v>
      </c>
      <c r="AC39" s="5">
        <f>(H39*$T$7)/T40</f>
        <v>0.075285821914245321</v>
      </c>
      <c r="AD39" s="5">
        <f>(I39*$T$7)/T41</f>
        <v>0.19556882520810426</v>
      </c>
      <c r="AG39" s="5">
        <f/>
        <v>3.3981644093022321</v>
      </c>
      <c r="AH39" s="5">
        <f/>
        <v>0.60537036984017245</v>
      </c>
      <c r="AI39" s="5">
        <f/>
        <v>6.9449274153852167</v>
      </c>
      <c r="AJ39" s="5">
        <f/>
        <v>0.34223867263832608</v>
      </c>
      <c r="AK39" s="5">
        <f/>
        <v>0.090453148058498245</v>
      </c>
      <c r="AL39" s="5">
        <f/>
        <v>1</v>
      </c>
      <c r="AM39" s="5">
        <f/>
        <v>13.282713458837639</v>
      </c>
      <c r="AN39" s="5">
        <f/>
        <v>5.1132893953619796</v>
      </c>
      <c r="AR39" s="5">
        <f t="shared" si="116"/>
        <v>3.6924409302564776</v>
      </c>
      <c r="AS39" s="5">
        <f t="shared" si="117"/>
        <v>2.2572516805558194</v>
      </c>
      <c r="AT39" s="5">
        <f t="shared" si="118"/>
        <v>7.0889174011962535</v>
      </c>
      <c r="AU39" s="5">
        <f t="shared" si="119"/>
        <v>3.2641761389421076</v>
      </c>
      <c r="AV39" s="5">
        <f t="shared" si="120"/>
        <v>11.145900321143909</v>
      </c>
      <c r="AW39" s="5">
        <f t="shared" si="121"/>
        <v>2</v>
      </c>
      <c r="AX39" s="5">
        <f t="shared" si="122"/>
        <v>13.357999280751885</v>
      </c>
      <c r="AY39" s="5">
        <f t="shared" si="123"/>
        <v>5.3088582205700838</v>
      </c>
    </row>
    <row r="40">
      <c r="B40" s="4">
        <v>9</v>
      </c>
      <c r="C40" s="4">
        <v>0.20000000000000001</v>
      </c>
      <c r="D40" s="4">
        <v>0.5</v>
      </c>
      <c r="E40" s="4">
        <v>0.5</v>
      </c>
      <c r="F40" s="4">
        <v>2</v>
      </c>
      <c r="G40" s="4">
        <v>9</v>
      </c>
      <c r="H40" s="4">
        <v>1</v>
      </c>
      <c r="I40" s="4">
        <v>8</v>
      </c>
      <c r="L40" s="5">
        <f t="shared" si="107"/>
        <v>0.47808764940239046</v>
      </c>
      <c r="M40" s="5">
        <f t="shared" si="108"/>
        <v>0.028197381671701917</v>
      </c>
      <c r="N40" s="5">
        <f t="shared" si="109"/>
        <v>0.031738035264483627</v>
      </c>
      <c r="O40" s="5">
        <f t="shared" si="110"/>
        <v>0.031623330990864375</v>
      </c>
      <c r="P40" s="5">
        <f t="shared" si="111"/>
        <v>0.058111380145278453</v>
      </c>
      <c r="Q40" s="5">
        <f t="shared" si="112"/>
        <v>0.33570159857904086</v>
      </c>
      <c r="R40" s="5">
        <f t="shared" si="113"/>
        <v>0.092189500640204869</v>
      </c>
      <c r="S40" s="6">
        <f t="shared" si="114"/>
        <v>0.26666666666666666</v>
      </c>
      <c r="T40" s="5">
        <f t="shared" si="115"/>
        <v>0.16528944292007891</v>
      </c>
      <c r="W40" s="5">
        <f>1/AC34</f>
        <v>11.726372116496625</v>
      </c>
      <c r="X40" s="5">
        <f>1/AC35</f>
        <v>0.16252937865366729</v>
      </c>
      <c r="Y40" s="5">
        <f>1/AC36</f>
        <v>0.74378022540504019</v>
      </c>
      <c r="Z40" s="5">
        <f>1/AC37</f>
        <v>0.7187270020287998</v>
      </c>
      <c r="AA40" s="5">
        <f>1/AC38</f>
        <v>4.6617884749019058</v>
      </c>
      <c r="AB40" s="5">
        <f>1/AC39</f>
        <v>13.282713458837639</v>
      </c>
      <c r="AC40" s="5">
        <v>1</v>
      </c>
      <c r="AD40" s="5">
        <f>(I40*T40)/T41</f>
        <v>13.854318222510674</v>
      </c>
      <c r="AG40" s="5">
        <f/>
        <v>0.085277866851351497</v>
      </c>
      <c r="AH40" s="5">
        <f/>
        <v>6.1527337905529871</v>
      </c>
      <c r="AI40" s="5">
        <f/>
        <v>1.3444831764052749</v>
      </c>
      <c r="AJ40" s="5">
        <f/>
        <v>1.3913488670625029</v>
      </c>
      <c r="AK40" s="5">
        <f/>
        <v>0.21450994728392139</v>
      </c>
      <c r="AL40" s="5">
        <f/>
        <v>0.075285821914245321</v>
      </c>
      <c r="AM40" s="5">
        <f/>
        <v>1</v>
      </c>
      <c r="AN40" s="5">
        <f/>
        <v>0.072179661527853975</v>
      </c>
      <c r="AR40" s="5">
        <f t="shared" si="116"/>
        <v>11.811649983347976</v>
      </c>
      <c r="AS40" s="5">
        <f t="shared" si="117"/>
        <v>6.3152631692066548</v>
      </c>
      <c r="AT40" s="5">
        <f t="shared" si="118"/>
        <v>2.0882634018103152</v>
      </c>
      <c r="AU40" s="5">
        <f t="shared" si="119"/>
        <v>2.1100758690913026</v>
      </c>
      <c r="AV40" s="5">
        <f t="shared" si="120"/>
        <v>4.876298422185827</v>
      </c>
      <c r="AW40" s="5">
        <f t="shared" si="121"/>
        <v>13.357999280751885</v>
      </c>
      <c r="AX40" s="5">
        <f t="shared" si="122"/>
        <v>2</v>
      </c>
      <c r="AY40" s="13">
        <f t="shared" si="123"/>
        <v>13.926497884038527</v>
      </c>
    </row>
    <row r="41">
      <c r="B41" s="10">
        <v>0.20000000000000001</v>
      </c>
      <c r="C41" s="10">
        <v>2</v>
      </c>
      <c r="D41" s="10">
        <v>3</v>
      </c>
      <c r="E41" s="10">
        <v>0.1111111111111111</v>
      </c>
      <c r="F41" s="10">
        <v>0.16666666666666671</v>
      </c>
      <c r="G41" s="10">
        <v>6</v>
      </c>
      <c r="H41" s="10">
        <v>0.125</v>
      </c>
      <c r="I41" s="10">
        <v>1</v>
      </c>
      <c r="L41" s="5">
        <f t="shared" si="107"/>
        <v>0.010624169986719788</v>
      </c>
      <c r="M41" s="5">
        <f t="shared" si="108"/>
        <v>0.28197381671701915</v>
      </c>
      <c r="N41" s="5">
        <f t="shared" si="109"/>
        <v>0.19042821158690176</v>
      </c>
      <c r="O41" s="5">
        <f t="shared" si="110"/>
        <v>0.0070274068868587496</v>
      </c>
      <c r="P41" s="5">
        <f t="shared" si="111"/>
        <v>0.0048426150121065395</v>
      </c>
      <c r="Q41" s="5">
        <f t="shared" si="112"/>
        <v>0.22380106571936056</v>
      </c>
      <c r="R41" s="5">
        <f t="shared" si="113"/>
        <v>0.011523687580025609</v>
      </c>
      <c r="S41" s="6">
        <f t="shared" si="114"/>
        <v>0.033333333333333333</v>
      </c>
      <c r="T41" s="5">
        <f t="shared" si="115"/>
        <v>0.095444288352790688</v>
      </c>
      <c r="W41" s="5">
        <f>1/AD34</f>
        <v>0.15047210138993616</v>
      </c>
      <c r="X41" s="5">
        <f>1/AD35</f>
        <v>0.93850524316432948</v>
      </c>
      <c r="Y41" s="5">
        <f>1/AD36</f>
        <v>2.5769186362006438</v>
      </c>
      <c r="Z41" s="5">
        <f>1/AD37</f>
        <v>0.092226616421987526</v>
      </c>
      <c r="AA41" s="5">
        <f>1/AD38</f>
        <v>0.22432420948858009</v>
      </c>
      <c r="AB41" s="5">
        <f>1/AD39</f>
        <v>5.1132893953619787</v>
      </c>
      <c r="AC41" s="5">
        <f>1/AD40</f>
        <v>0.072179661527853975</v>
      </c>
      <c r="AD41" s="5">
        <v>1</v>
      </c>
      <c r="AG41" s="5">
        <f/>
        <v>6.6457502139122893</v>
      </c>
      <c r="AH41" s="5">
        <f/>
        <v>1.0655241484089431</v>
      </c>
      <c r="AI41" s="5">
        <f/>
        <v>0.38806037022355488</v>
      </c>
      <c r="AJ41" s="5">
        <f/>
        <v>10.84285685408266</v>
      </c>
      <c r="AK41" s="5">
        <f/>
        <v>4.4578336073481539</v>
      </c>
      <c r="AL41" s="5">
        <f/>
        <v>0.1955688252081042</v>
      </c>
      <c r="AM41" s="5">
        <f/>
        <v>13.85431822251067</v>
      </c>
      <c r="AN41" s="5">
        <f/>
        <v>1</v>
      </c>
      <c r="AR41" s="5">
        <f t="shared" si="116"/>
        <v>6.7962223153022254</v>
      </c>
      <c r="AS41" s="5">
        <f t="shared" si="117"/>
        <v>2.0040293915732725</v>
      </c>
      <c r="AT41" s="5">
        <f t="shared" si="118"/>
        <v>2.9649790064241985</v>
      </c>
      <c r="AU41" s="5">
        <f t="shared" si="119"/>
        <v>10.935083470504647</v>
      </c>
      <c r="AV41" s="5">
        <f t="shared" si="120"/>
        <v>4.6821578168367344</v>
      </c>
      <c r="AW41" s="5">
        <f t="shared" si="121"/>
        <v>5.3088582205700829</v>
      </c>
      <c r="AX41" s="13">
        <f t="shared" si="122"/>
        <v>13.926497884038524</v>
      </c>
      <c r="AY41" s="5">
        <f t="shared" si="123"/>
        <v>2</v>
      </c>
    </row>
    <row r="42">
      <c r="A42" s="2" t="s">
        <v>6</v>
      </c>
      <c r="B42" s="11">
        <f>SUM(B34:B41)</f>
        <v>18.824999999999999</v>
      </c>
      <c r="C42" s="11">
        <f>SUM(C34:C41)</f>
        <v>7.9500000000000002</v>
      </c>
      <c r="D42" s="11">
        <f>SUM(D34:D41)</f>
        <v>15.753968253968253</v>
      </c>
      <c r="E42" s="11">
        <f>SUM(E34:E41)</f>
        <v>15.81111111111111</v>
      </c>
      <c r="F42" s="11">
        <f>SUM(F34:F41)</f>
        <v>28.416666666666668</v>
      </c>
      <c r="G42" s="11">
        <f>SUM(G34:G41)</f>
        <v>26.80952380952381</v>
      </c>
      <c r="H42" s="11">
        <f>SUM(H34:H41)</f>
        <v>10.847222222222221</v>
      </c>
      <c r="I42" s="11">
        <f>SUM(I34:I41)</f>
        <v>30</v>
      </c>
    </row>
    <row r="44">
      <c r="B44" s="2" t="s">
        <v>7</v>
      </c>
      <c r="C44" s="2">
        <f>B42*T34+C42*T35+D42*T36+E42*T37+F42*T38+G42*T39+H42*T40+I42*T41</f>
        <v>17.503625974285477</v>
      </c>
    </row>
    <row r="45">
      <c r="B45" s="2" t="s">
        <v>8</v>
      </c>
      <c r="C45" s="2">
        <f>(C44-8)/7</f>
        <v>1.3576608534693537</v>
      </c>
    </row>
    <row r="46">
      <c r="B46" s="2" t="s">
        <v>9</v>
      </c>
      <c r="C46" s="2">
        <f>C45/1.41</f>
        <v>0.96288003792152754</v>
      </c>
    </row>
    <row r="48">
      <c r="A48" s="2" t="s">
        <v>20</v>
      </c>
    </row>
    <row r="49">
      <c r="T49" s="12" t="s">
        <v>3</v>
      </c>
    </row>
    <row r="50">
      <c r="B50" s="4">
        <v>1</v>
      </c>
      <c r="C50" s="4">
        <v>0.33333333333333331</v>
      </c>
      <c r="D50" s="4">
        <v>6</v>
      </c>
      <c r="E50" s="4">
        <v>0.20000000000000001</v>
      </c>
      <c r="F50" s="4">
        <v>8</v>
      </c>
      <c r="G50" s="4">
        <v>3</v>
      </c>
      <c r="H50" s="4">
        <v>0.1111111111111111</v>
      </c>
      <c r="I50" s="4">
        <v>5</v>
      </c>
      <c r="L50" s="5">
        <f t="shared" si="107"/>
        <v>0.053120849933598939</v>
      </c>
      <c r="M50" s="5">
        <f t="shared" si="108"/>
        <v>0.046995636119503185</v>
      </c>
      <c r="N50" s="5">
        <f t="shared" si="109"/>
        <v>0.38085642317380353</v>
      </c>
      <c r="O50" s="5">
        <f t="shared" si="110"/>
        <v>0.012649332396345751</v>
      </c>
      <c r="P50" s="5">
        <f t="shared" si="111"/>
        <v>0.23244552058111381</v>
      </c>
      <c r="Q50" s="5">
        <f t="shared" si="112"/>
        <v>0.11190053285968028</v>
      </c>
      <c r="R50" s="5">
        <f t="shared" si="113"/>
        <v>0.010243277848911651</v>
      </c>
      <c r="S50" s="6">
        <f t="shared" si="114"/>
        <v>0.16666666666666666</v>
      </c>
      <c r="T50" s="5">
        <f t="shared" si="115"/>
        <v>0.12685977994745298</v>
      </c>
      <c r="W50" s="5">
        <v>1</v>
      </c>
      <c r="X50" s="5">
        <f>(C50*$T$2)/T51</f>
        <v>0.23284976549932898</v>
      </c>
      <c r="Y50" s="5">
        <f>(D50*$T$2)/T52</f>
        <v>6.8502230311059957</v>
      </c>
      <c r="Z50" s="5">
        <f>(E50*$T$2)/T53</f>
        <v>0.2206494200933389</v>
      </c>
      <c r="AA50" s="5">
        <f>(F50*$T$2)/T54</f>
        <v>13.227899863548764</v>
      </c>
      <c r="AB50" s="5">
        <f>(G50*$T$2)/T55</f>
        <v>3.3981644093022316</v>
      </c>
      <c r="AC50" s="5">
        <f>(H50*$T$2)/T56</f>
        <v>0.10355012947305511</v>
      </c>
      <c r="AD50" s="5">
        <f>(I50*$T$2)/T57</f>
        <v>6.01074421041322</v>
      </c>
      <c r="AG50" s="5">
        <f t="array" ref="AG50:AN57">TRANSPOSE(W50:AD57)</f>
        <v>1</v>
      </c>
      <c r="AH50" s="5">
        <f/>
        <v>4.2946145891775949</v>
      </c>
      <c r="AI50" s="5">
        <f/>
        <v>0.1459806484342373</v>
      </c>
      <c r="AJ50" s="5">
        <f/>
        <v>4.5320762664002512</v>
      </c>
      <c r="AK50" s="5">
        <f/>
        <v>0.075597790300456755</v>
      </c>
      <c r="AL50" s="5">
        <f/>
        <v>0.29427652095424572</v>
      </c>
      <c r="AM50" s="5">
        <f/>
        <v>9.6571583742945588</v>
      </c>
      <c r="AN50" s="5">
        <f/>
        <v>0.1663687498575577</v>
      </c>
      <c r="AR50" s="5">
        <f t="shared" si="116"/>
        <v>2</v>
      </c>
      <c r="AS50" s="5">
        <f t="shared" si="117"/>
        <v>4.5274643546769235</v>
      </c>
      <c r="AT50" s="5">
        <f t="shared" si="118"/>
        <v>6.9962036795402334</v>
      </c>
      <c r="AU50" s="5">
        <f t="shared" si="119"/>
        <v>4.7527256864935898</v>
      </c>
      <c r="AV50" s="13">
        <f t="shared" si="120"/>
        <v>13.30349765384922</v>
      </c>
      <c r="AW50" s="5">
        <f t="shared" si="121"/>
        <v>3.6924409302564776</v>
      </c>
      <c r="AX50" s="5">
        <f t="shared" si="122"/>
        <v>9.7607085037676136</v>
      </c>
      <c r="AY50" s="5">
        <f t="shared" si="123"/>
        <v>6.1771129602707777</v>
      </c>
    </row>
    <row r="51">
      <c r="B51" s="4">
        <v>3</v>
      </c>
      <c r="C51" s="4">
        <v>1</v>
      </c>
      <c r="D51" s="4">
        <v>4</v>
      </c>
      <c r="E51" s="4">
        <v>6</v>
      </c>
      <c r="F51" s="4">
        <v>1</v>
      </c>
      <c r="G51" s="4">
        <v>0.33333333333333331</v>
      </c>
      <c r="H51" s="4">
        <v>5</v>
      </c>
      <c r="I51" s="4">
        <v>0.5</v>
      </c>
      <c r="L51" s="5">
        <f t="shared" si="107"/>
        <v>0.15936254980079681</v>
      </c>
      <c r="M51" s="5">
        <f t="shared" si="108"/>
        <v>0.14098690835850958</v>
      </c>
      <c r="N51" s="5">
        <f t="shared" si="109"/>
        <v>0.25390428211586902</v>
      </c>
      <c r="O51" s="5">
        <f t="shared" si="110"/>
        <v>0.37947997189037247</v>
      </c>
      <c r="P51" s="5">
        <f t="shared" si="111"/>
        <v>0.029055690072639227</v>
      </c>
      <c r="Q51" s="5">
        <f t="shared" si="112"/>
        <v>0.012433392539964476</v>
      </c>
      <c r="R51" s="5">
        <f t="shared" si="113"/>
        <v>0.46094750320102434</v>
      </c>
      <c r="S51" s="6">
        <f t="shared" si="114"/>
        <v>0.016666666666666666</v>
      </c>
      <c r="T51" s="5">
        <f t="shared" si="115"/>
        <v>0.18160462058073029</v>
      </c>
      <c r="W51" s="5">
        <f>1/X50</f>
        <v>4.2946145891775949</v>
      </c>
      <c r="X51" s="5">
        <v>1</v>
      </c>
      <c r="Y51" s="5">
        <f>(D51*$T$3)/T52</f>
        <v>7.3220507609515328</v>
      </c>
      <c r="Z51" s="5">
        <f>(E51*$T$3)/T53</f>
        <v>10.613126187757059</v>
      </c>
      <c r="AA51" s="5">
        <f>(F51*$T$3)/T54</f>
        <v>2.651063891146682</v>
      </c>
      <c r="AB51" s="5">
        <f>(G51*$T$3)/T55</f>
        <v>0.60537036984017245</v>
      </c>
      <c r="AC51" s="5">
        <f>(H51*$T$3)/T56</f>
        <v>7.4710637607242862</v>
      </c>
      <c r="AD51" s="5">
        <f>(I51*$T$3)/T57</f>
        <v>0.96371258322304698</v>
      </c>
      <c r="AG51" s="5">
        <f/>
        <v>0.23284976549932901</v>
      </c>
      <c r="AH51" s="5">
        <f/>
        <v>1</v>
      </c>
      <c r="AI51" s="5">
        <f/>
        <v>0.13657375954466139</v>
      </c>
      <c r="AJ51" s="5">
        <f/>
        <v>0.094222944522563579</v>
      </c>
      <c r="AK51" s="5">
        <f/>
        <v>0.37720705386978193</v>
      </c>
      <c r="AL51" s="5">
        <f/>
        <v>1.6518813107156469</v>
      </c>
      <c r="AM51" s="5">
        <f/>
        <v>0.1338497477771565</v>
      </c>
      <c r="AN51" s="5">
        <f/>
        <v>1.0376537750037389</v>
      </c>
      <c r="AR51" s="5">
        <f t="shared" si="116"/>
        <v>4.5274643546769235</v>
      </c>
      <c r="AS51" s="5">
        <f t="shared" si="117"/>
        <v>2</v>
      </c>
      <c r="AT51" s="5">
        <f t="shared" si="118"/>
        <v>7.4586245204961941</v>
      </c>
      <c r="AU51" s="5">
        <f t="shared" si="119"/>
        <v>10.707349132279623</v>
      </c>
      <c r="AV51" s="5">
        <f t="shared" si="120"/>
        <v>3.0282709450164638</v>
      </c>
      <c r="AW51" s="5">
        <f t="shared" si="121"/>
        <v>2.2572516805558194</v>
      </c>
      <c r="AX51" s="5">
        <f t="shared" si="122"/>
        <v>7.6049135085014425</v>
      </c>
      <c r="AY51" s="5">
        <f t="shared" si="123"/>
        <v>2.001366358226786</v>
      </c>
    </row>
    <row r="52">
      <c r="B52" s="4">
        <v>0.16666666666666671</v>
      </c>
      <c r="C52" s="4">
        <v>0.25</v>
      </c>
      <c r="D52" s="4">
        <v>1</v>
      </c>
      <c r="E52" s="4">
        <v>1</v>
      </c>
      <c r="F52" s="4">
        <v>9</v>
      </c>
      <c r="G52" s="4">
        <v>7</v>
      </c>
      <c r="H52" s="4">
        <v>2</v>
      </c>
      <c r="I52" s="4">
        <v>0.33333333333333331</v>
      </c>
      <c r="L52" s="5">
        <f t="shared" si="107"/>
        <v>0.0088534749889331594</v>
      </c>
      <c r="M52" s="5">
        <f t="shared" si="108"/>
        <v>0.035246727089627394</v>
      </c>
      <c r="N52" s="5">
        <f t="shared" si="109"/>
        <v>0.063476070528967254</v>
      </c>
      <c r="O52" s="5">
        <f t="shared" si="110"/>
        <v>0.06324666198172875</v>
      </c>
      <c r="P52" s="5">
        <f t="shared" si="111"/>
        <v>0.26150121065375304</v>
      </c>
      <c r="Q52" s="5">
        <f t="shared" si="112"/>
        <v>0.261101243339254</v>
      </c>
      <c r="R52" s="5">
        <f t="shared" si="113"/>
        <v>0.18437900128040974</v>
      </c>
      <c r="S52" s="6">
        <f t="shared" si="114"/>
        <v>0.01111111111111111</v>
      </c>
      <c r="T52" s="5">
        <f t="shared" si="115"/>
        <v>0.11111443762172306</v>
      </c>
      <c r="W52" s="5">
        <f>1/Y50</f>
        <v>0.14598064843423733</v>
      </c>
      <c r="X52" s="5">
        <f>1/Y51</f>
        <v>0.13657375954466144</v>
      </c>
      <c r="Y52" s="5">
        <v>1</v>
      </c>
      <c r="Z52" s="5">
        <f>(E52*$T$4)/T53</f>
        <v>0.96631636265592136</v>
      </c>
      <c r="AA52" s="5">
        <f>(F52*$T$4)/T54</f>
        <v>13.034367446652054</v>
      </c>
      <c r="AB52" s="5">
        <f>(G52*$T$4)/T55</f>
        <v>6.9449274153852167</v>
      </c>
      <c r="AC52" s="5">
        <f>(H52*$T$4)/T56</f>
        <v>1.6325620249599881</v>
      </c>
      <c r="AD52" s="5">
        <f>(I52*$T$4)/T57</f>
        <v>0.35098093496338384</v>
      </c>
      <c r="AG52" s="5">
        <f/>
        <v>6.8502230311059957</v>
      </c>
      <c r="AH52" s="5">
        <f/>
        <v>7.3220507609515328</v>
      </c>
      <c r="AI52" s="5">
        <f/>
        <v>1</v>
      </c>
      <c r="AJ52" s="5">
        <f/>
        <v>1.034857773960796</v>
      </c>
      <c r="AK52" s="5">
        <f/>
        <v>0.076720255439542279</v>
      </c>
      <c r="AL52" s="5">
        <f/>
        <v>0.14398998581103711</v>
      </c>
      <c r="AM52" s="5">
        <f/>
        <v>0.61253415472806227</v>
      </c>
      <c r="AN52" s="5">
        <f/>
        <v>2.8491576048263849</v>
      </c>
      <c r="AR52" s="5">
        <f t="shared" si="116"/>
        <v>6.9962036795402334</v>
      </c>
      <c r="AS52" s="5">
        <f t="shared" si="117"/>
        <v>7.4586245204961941</v>
      </c>
      <c r="AT52" s="5">
        <f t="shared" si="118"/>
        <v>2</v>
      </c>
      <c r="AU52" s="5">
        <f t="shared" si="119"/>
        <v>2.0011741366167173</v>
      </c>
      <c r="AV52" s="5">
        <f t="shared" si="120"/>
        <v>13.111087702091595</v>
      </c>
      <c r="AW52" s="5">
        <f t="shared" si="121"/>
        <v>7.0889174011962535</v>
      </c>
      <c r="AX52" s="5">
        <f t="shared" si="122"/>
        <v>2.2450961796880504</v>
      </c>
      <c r="AY52" s="5">
        <f t="shared" si="123"/>
        <v>3.2001385397897688</v>
      </c>
    </row>
    <row r="53" ht="18.75" customHeight="1">
      <c r="B53" s="4">
        <v>5</v>
      </c>
      <c r="C53" s="4">
        <v>0.16666666666666671</v>
      </c>
      <c r="D53" s="4">
        <v>1</v>
      </c>
      <c r="E53" s="4">
        <v>1</v>
      </c>
      <c r="F53" s="4">
        <v>0.25</v>
      </c>
      <c r="G53" s="4">
        <v>0.33333333333333331</v>
      </c>
      <c r="H53" s="4">
        <v>2</v>
      </c>
      <c r="I53" s="4">
        <v>9</v>
      </c>
      <c r="L53" s="5">
        <f t="shared" si="107"/>
        <v>0.26560424966799467</v>
      </c>
      <c r="M53" s="5">
        <f t="shared" si="108"/>
        <v>0.023497818059751603</v>
      </c>
      <c r="N53" s="5">
        <f t="shared" si="109"/>
        <v>0.063476070528967254</v>
      </c>
      <c r="O53" s="5">
        <f t="shared" si="110"/>
        <v>0.06324666198172875</v>
      </c>
      <c r="P53" s="5">
        <f t="shared" si="111"/>
        <v>0.0072639225181598066</v>
      </c>
      <c r="Q53" s="5">
        <f t="shared" si="112"/>
        <v>0.012433392539964476</v>
      </c>
      <c r="R53" s="5">
        <f t="shared" si="113"/>
        <v>0.18437900128040974</v>
      </c>
      <c r="S53" s="6">
        <f t="shared" si="114"/>
        <v>0.29999999999999999</v>
      </c>
      <c r="T53" s="5">
        <f t="shared" si="115"/>
        <v>0.11498763957212205</v>
      </c>
      <c r="W53" s="5">
        <f>1/Z50</f>
        <v>4.5320762664002512</v>
      </c>
      <c r="X53" s="5">
        <f>1/Z51</f>
        <v>0.094222944522563579</v>
      </c>
      <c r="Y53" s="5">
        <f>1/Z52</f>
        <v>1.034857773960796</v>
      </c>
      <c r="Z53" s="5">
        <v>1</v>
      </c>
      <c r="AA53" s="5">
        <f>(F53*$T$5)/T54</f>
        <v>0.37468656891192798</v>
      </c>
      <c r="AB53" s="5">
        <f>(G53*$T$5)/T55</f>
        <v>0.34223867263832614</v>
      </c>
      <c r="AC53" s="5">
        <f>(H53*$T$5)/T56</f>
        <v>1.6894695030030229</v>
      </c>
      <c r="AD53" s="5">
        <f>(I53*$T$5)/T57</f>
        <v>9.8068144245899305</v>
      </c>
      <c r="AF53" s="2" t="s">
        <v>4</v>
      </c>
      <c r="AG53" s="5">
        <f/>
        <v>0.2206494200933389</v>
      </c>
      <c r="AH53" s="5">
        <f/>
        <v>10.613126187757061</v>
      </c>
      <c r="AI53" s="5">
        <f/>
        <v>0.96631636265592136</v>
      </c>
      <c r="AJ53" s="5">
        <f/>
        <v>1</v>
      </c>
      <c r="AK53" s="5">
        <f/>
        <v>2.66889737442138</v>
      </c>
      <c r="AL53" s="5">
        <f/>
        <v>2.921937466303782</v>
      </c>
      <c r="AM53" s="5">
        <f/>
        <v>0.59190177639934038</v>
      </c>
      <c r="AN53" s="5">
        <f/>
        <v>0.10196991160478849</v>
      </c>
      <c r="AP53" s="8" t="s">
        <v>5</v>
      </c>
      <c r="AR53" s="5">
        <f t="shared" si="116"/>
        <v>4.7527256864935898</v>
      </c>
      <c r="AS53" s="5">
        <f t="shared" si="117"/>
        <v>10.707349132279624</v>
      </c>
      <c r="AT53" s="5">
        <f t="shared" si="118"/>
        <v>2.0011741366167173</v>
      </c>
      <c r="AU53" s="5">
        <f t="shared" si="119"/>
        <v>2</v>
      </c>
      <c r="AV53" s="5">
        <f t="shared" si="120"/>
        <v>3.0435839433333078</v>
      </c>
      <c r="AW53" s="5">
        <f t="shared" si="121"/>
        <v>3.264176138942108</v>
      </c>
      <c r="AX53" s="5">
        <f t="shared" si="122"/>
        <v>2.2813712794023635</v>
      </c>
      <c r="AY53" s="5">
        <f t="shared" si="123"/>
        <v>9.908784336194719</v>
      </c>
    </row>
    <row r="54">
      <c r="B54" s="4">
        <v>1</v>
      </c>
      <c r="C54" s="4">
        <v>0.14285714285714279</v>
      </c>
      <c r="D54" s="4">
        <v>0.1111111111111111</v>
      </c>
      <c r="E54" s="4">
        <v>4</v>
      </c>
      <c r="F54" s="4">
        <v>1</v>
      </c>
      <c r="G54" s="4">
        <v>0.14285714285714279</v>
      </c>
      <c r="H54" s="4">
        <v>0.5</v>
      </c>
      <c r="I54" s="4">
        <v>6</v>
      </c>
      <c r="L54" s="5">
        <f t="shared" si="107"/>
        <v>0.053120849933598939</v>
      </c>
      <c r="M54" s="5">
        <f t="shared" si="108"/>
        <v>0.020140986908358503</v>
      </c>
      <c r="N54" s="5">
        <f t="shared" si="109"/>
        <v>0.0070528967254408059</v>
      </c>
      <c r="O54" s="5">
        <f t="shared" si="110"/>
        <v>0.252986647926915</v>
      </c>
      <c r="P54" s="5">
        <f t="shared" si="111"/>
        <v>0.029055690072639227</v>
      </c>
      <c r="Q54" s="5">
        <f t="shared" si="112"/>
        <v>0.0053285968028419159</v>
      </c>
      <c r="R54" s="5">
        <f t="shared" si="113"/>
        <v>0.046094750320102434</v>
      </c>
      <c r="S54" s="6">
        <f t="shared" si="114"/>
        <v>0.20000000000000001</v>
      </c>
      <c r="T54" s="5">
        <f t="shared" si="115"/>
        <v>0.076722552336237121</v>
      </c>
      <c r="W54" s="5">
        <f>1/AA50</f>
        <v>0.075597790300456755</v>
      </c>
      <c r="X54" s="5">
        <f>1/AA51</f>
        <v>0.37720705386978187</v>
      </c>
      <c r="Y54" s="5">
        <f>1/AA52</f>
        <v>0.076720255439542279</v>
      </c>
      <c r="Z54" s="5">
        <f>1/AA53</f>
        <v>2.66889737442138</v>
      </c>
      <c r="AA54" s="5">
        <v>1</v>
      </c>
      <c r="AB54" s="5">
        <f>(G54*$T$6)/T55</f>
        <v>0.090453148058498203</v>
      </c>
      <c r="AC54" s="5">
        <f>(H54*$T$6)/T56</f>
        <v>0.26047242543281623</v>
      </c>
      <c r="AD54" s="5">
        <f>(I54*$T$6)/T57</f>
        <v>4.03188454032784</v>
      </c>
      <c r="AG54" s="5">
        <f/>
        <v>13.22789986354876</v>
      </c>
      <c r="AH54" s="5">
        <f/>
        <v>2.651063891146682</v>
      </c>
      <c r="AI54" s="5">
        <f/>
        <v>13.03436744665205</v>
      </c>
      <c r="AJ54" s="5">
        <f/>
        <v>0.37468656891192798</v>
      </c>
      <c r="AK54" s="5">
        <f/>
        <v>1</v>
      </c>
      <c r="AL54" s="5">
        <f/>
        <v>11.055447173085399</v>
      </c>
      <c r="AM54" s="5">
        <f/>
        <v>3.8391779795436749</v>
      </c>
      <c r="AN54" s="5">
        <f/>
        <v>0.248022975359976</v>
      </c>
      <c r="AR54" s="13">
        <f t="shared" si="116"/>
        <v>13.303497653849217</v>
      </c>
      <c r="AS54" s="5">
        <f t="shared" si="117"/>
        <v>3.0282709450164638</v>
      </c>
      <c r="AT54" s="5">
        <f t="shared" si="118"/>
        <v>13.111087702091591</v>
      </c>
      <c r="AU54" s="5">
        <f t="shared" si="119"/>
        <v>3.0435839433333078</v>
      </c>
      <c r="AV54" s="5">
        <f t="shared" si="120"/>
        <v>2</v>
      </c>
      <c r="AW54" s="5">
        <f t="shared" si="121"/>
        <v>11.145900321143898</v>
      </c>
      <c r="AX54" s="5">
        <f t="shared" si="122"/>
        <v>4.099650404976491</v>
      </c>
      <c r="AY54" s="5">
        <f t="shared" si="123"/>
        <v>4.2799075156878157</v>
      </c>
    </row>
    <row r="55">
      <c r="B55" s="4">
        <v>0.33333333333333331</v>
      </c>
      <c r="C55" s="4">
        <v>3</v>
      </c>
      <c r="D55" s="4">
        <v>0.14285714285714279</v>
      </c>
      <c r="E55" s="4">
        <v>3</v>
      </c>
      <c r="F55" s="4">
        <v>7</v>
      </c>
      <c r="G55" s="4">
        <v>1</v>
      </c>
      <c r="H55" s="4">
        <v>0.1111111111111111</v>
      </c>
      <c r="I55" s="4">
        <v>0.16666666666666671</v>
      </c>
      <c r="L55" s="5">
        <f t="shared" si="107"/>
        <v>0.017706949977866312</v>
      </c>
      <c r="M55" s="5">
        <f t="shared" si="108"/>
        <v>0.42296072507552873</v>
      </c>
      <c r="N55" s="5">
        <f t="shared" si="109"/>
        <v>0.0090680100755667469</v>
      </c>
      <c r="O55" s="5">
        <f t="shared" si="110"/>
        <v>0.18973998594518623</v>
      </c>
      <c r="P55" s="5">
        <f t="shared" si="111"/>
        <v>0.20338983050847459</v>
      </c>
      <c r="Q55" s="5">
        <f t="shared" si="112"/>
        <v>0.037300177619893425</v>
      </c>
      <c r="R55" s="5">
        <f t="shared" si="113"/>
        <v>0.010243277848911651</v>
      </c>
      <c r="S55" s="6">
        <f t="shared" si="114"/>
        <v>0.0055555555555555575</v>
      </c>
      <c r="T55" s="5">
        <f t="shared" si="115"/>
        <v>0.11199556407587291</v>
      </c>
      <c r="W55" s="5">
        <f>1/AB50</f>
        <v>0.29427652095424567</v>
      </c>
      <c r="X55" s="5">
        <f>1/AB51</f>
        <v>1.6518813107156469</v>
      </c>
      <c r="Y55" s="5">
        <f>1/AB52</f>
        <v>0.14398998581103711</v>
      </c>
      <c r="Z55" s="5">
        <f>1/AB53</f>
        <v>2.9219374663037816</v>
      </c>
      <c r="AA55" s="5">
        <f>1/AB54</f>
        <v>11.05544717308541</v>
      </c>
      <c r="AB55" s="5">
        <v>1</v>
      </c>
      <c r="AC55" s="5">
        <f>(H55*$T$7)/T56</f>
        <v>0.091417115537077057</v>
      </c>
      <c r="AD55" s="5">
        <f>(I55*$T$7)/T57</f>
        <v>0.17688208945862771</v>
      </c>
      <c r="AG55" s="5">
        <f/>
        <v>3.3981644093022321</v>
      </c>
      <c r="AH55" s="5">
        <f/>
        <v>0.60537036984017245</v>
      </c>
      <c r="AI55" s="5">
        <f/>
        <v>6.9449274153852167</v>
      </c>
      <c r="AJ55" s="5">
        <f/>
        <v>0.34223867263832608</v>
      </c>
      <c r="AK55" s="5">
        <f/>
        <v>0.090453148058498245</v>
      </c>
      <c r="AL55" s="5">
        <f/>
        <v>1</v>
      </c>
      <c r="AM55" s="5">
        <f/>
        <v>10.93887062750759</v>
      </c>
      <c r="AN55" s="5">
        <f/>
        <v>5.6534836458605833</v>
      </c>
      <c r="AR55" s="5">
        <f t="shared" si="116"/>
        <v>3.6924409302564776</v>
      </c>
      <c r="AS55" s="5">
        <f t="shared" si="117"/>
        <v>2.2572516805558194</v>
      </c>
      <c r="AT55" s="5">
        <f t="shared" si="118"/>
        <v>7.0889174011962535</v>
      </c>
      <c r="AU55" s="5">
        <f t="shared" si="119"/>
        <v>3.2641761389421076</v>
      </c>
      <c r="AV55" s="5">
        <f t="shared" si="120"/>
        <v>11.145900321143909</v>
      </c>
      <c r="AW55" s="5">
        <f t="shared" si="121"/>
        <v>2</v>
      </c>
      <c r="AX55" s="5">
        <f t="shared" si="122"/>
        <v>11.030287743044667</v>
      </c>
      <c r="AY55" s="5">
        <f t="shared" si="123"/>
        <v>5.8303657353192113</v>
      </c>
    </row>
    <row r="56">
      <c r="B56" s="4">
        <v>9</v>
      </c>
      <c r="C56" s="4">
        <v>0.20000000000000001</v>
      </c>
      <c r="D56" s="4">
        <v>0.5</v>
      </c>
      <c r="E56" s="4">
        <v>0.5</v>
      </c>
      <c r="F56" s="4">
        <v>2</v>
      </c>
      <c r="G56" s="4">
        <v>9</v>
      </c>
      <c r="H56" s="4">
        <v>1</v>
      </c>
      <c r="I56" s="4">
        <v>1</v>
      </c>
      <c r="L56" s="5">
        <f t="shared" si="107"/>
        <v>0.47808764940239046</v>
      </c>
      <c r="M56" s="5">
        <f t="shared" si="108"/>
        <v>0.028197381671701917</v>
      </c>
      <c r="N56" s="5">
        <f t="shared" si="109"/>
        <v>0.031738035264483627</v>
      </c>
      <c r="O56" s="5">
        <f t="shared" si="110"/>
        <v>0.031623330990864375</v>
      </c>
      <c r="P56" s="5">
        <f t="shared" si="111"/>
        <v>0.058111380145278453</v>
      </c>
      <c r="Q56" s="5">
        <f t="shared" si="112"/>
        <v>0.33570159857904086</v>
      </c>
      <c r="R56" s="5">
        <f t="shared" si="113"/>
        <v>0.092189500640204869</v>
      </c>
      <c r="S56" s="6">
        <f t="shared" si="114"/>
        <v>0.033333333333333333</v>
      </c>
      <c r="T56" s="5">
        <f t="shared" si="115"/>
        <v>0.13612277625341226</v>
      </c>
      <c r="W56" s="5">
        <f>1/AC50</f>
        <v>9.6571583742945588</v>
      </c>
      <c r="X56" s="5">
        <f>1/AC51</f>
        <v>0.1338497477771565</v>
      </c>
      <c r="Y56" s="5">
        <f>1/AC52</f>
        <v>0.61253415472806227</v>
      </c>
      <c r="Z56" s="5">
        <f>1/AC53</f>
        <v>0.59190177639934038</v>
      </c>
      <c r="AA56" s="5">
        <f>1/AC54</f>
        <v>3.8391779795436749</v>
      </c>
      <c r="AB56" s="5">
        <f>1/AC55</f>
        <v>10.93887062750759</v>
      </c>
      <c r="AC56" s="5">
        <v>1</v>
      </c>
      <c r="AD56" s="5">
        <f>(I56*T56)/T57</f>
        <v>1.2899268619407678</v>
      </c>
      <c r="AG56" s="5">
        <f/>
        <v>0.1035501294730551</v>
      </c>
      <c r="AH56" s="5">
        <f/>
        <v>7.4710637607242862</v>
      </c>
      <c r="AI56" s="5">
        <f/>
        <v>1.6325620249599879</v>
      </c>
      <c r="AJ56" s="5">
        <f/>
        <v>1.6894695030030229</v>
      </c>
      <c r="AK56" s="5">
        <f/>
        <v>0.26047242543281618</v>
      </c>
      <c r="AL56" s="5">
        <f/>
        <v>0.091417115537077057</v>
      </c>
      <c r="AM56" s="5">
        <f/>
        <v>1</v>
      </c>
      <c r="AN56" s="5">
        <f/>
        <v>0.77523775146091889</v>
      </c>
      <c r="AR56" s="5">
        <f t="shared" si="116"/>
        <v>9.7607085037676136</v>
      </c>
      <c r="AS56" s="5">
        <f t="shared" si="117"/>
        <v>7.6049135085014425</v>
      </c>
      <c r="AT56" s="5">
        <f t="shared" si="118"/>
        <v>2.2450961796880504</v>
      </c>
      <c r="AU56" s="5">
        <f t="shared" si="119"/>
        <v>2.2813712794023635</v>
      </c>
      <c r="AV56" s="5">
        <f t="shared" si="120"/>
        <v>4.099650404976491</v>
      </c>
      <c r="AW56" s="5">
        <f t="shared" si="121"/>
        <v>11.030287743044667</v>
      </c>
      <c r="AX56" s="5">
        <f t="shared" si="122"/>
        <v>2</v>
      </c>
      <c r="AY56" s="5">
        <f t="shared" si="123"/>
        <v>2.0651646134016866</v>
      </c>
    </row>
    <row r="57">
      <c r="B57" s="10">
        <v>0.20000000000000001</v>
      </c>
      <c r="C57" s="10">
        <v>2</v>
      </c>
      <c r="D57" s="10">
        <v>3</v>
      </c>
      <c r="E57" s="10">
        <v>0.1111111111111111</v>
      </c>
      <c r="F57" s="10">
        <v>0.16666666666666671</v>
      </c>
      <c r="G57" s="10">
        <v>6</v>
      </c>
      <c r="H57" s="10">
        <v>1</v>
      </c>
      <c r="I57" s="10">
        <v>1</v>
      </c>
      <c r="L57" s="5">
        <f t="shared" si="107"/>
        <v>0.010624169986719788</v>
      </c>
      <c r="M57" s="5">
        <f t="shared" si="108"/>
        <v>0.28197381671701915</v>
      </c>
      <c r="N57" s="5">
        <f t="shared" si="109"/>
        <v>0.19042821158690176</v>
      </c>
      <c r="O57" s="5">
        <f t="shared" si="110"/>
        <v>0.0070274068868587496</v>
      </c>
      <c r="P57" s="5">
        <f t="shared" si="111"/>
        <v>0.0048426150121065395</v>
      </c>
      <c r="Q57" s="5">
        <f t="shared" si="112"/>
        <v>0.22380106571936056</v>
      </c>
      <c r="R57" s="5">
        <f t="shared" si="113"/>
        <v>0.092189500640204869</v>
      </c>
      <c r="S57" s="6">
        <f t="shared" si="114"/>
        <v>0.033333333333333333</v>
      </c>
      <c r="T57" s="5">
        <f t="shared" si="115"/>
        <v>0.10552751498531308</v>
      </c>
      <c r="W57" s="5">
        <f>1/AD50</f>
        <v>0.16636874985755767</v>
      </c>
      <c r="X57" s="5">
        <f>1/AD51</f>
        <v>1.0376537750037393</v>
      </c>
      <c r="Y57" s="5">
        <f>1/AD52</f>
        <v>2.8491576048263854</v>
      </c>
      <c r="Z57" s="5">
        <f>1/AD53</f>
        <v>0.10196991160478849</v>
      </c>
      <c r="AA57" s="5">
        <f>1/AD54</f>
        <v>0.248022975359976</v>
      </c>
      <c r="AB57" s="5">
        <f>1/AD55</f>
        <v>5.6534836458605806</v>
      </c>
      <c r="AC57" s="5">
        <f>1/AD56</f>
        <v>0.77523775146091889</v>
      </c>
      <c r="AD57" s="5">
        <v>1</v>
      </c>
      <c r="AG57" s="5">
        <f/>
        <v>6.01074421041322</v>
      </c>
      <c r="AH57" s="5">
        <f/>
        <v>0.96371258322304698</v>
      </c>
      <c r="AI57" s="5">
        <f/>
        <v>0.35098093496338378</v>
      </c>
      <c r="AJ57" s="5">
        <f/>
        <v>9.8068144245899305</v>
      </c>
      <c r="AK57" s="5">
        <f/>
        <v>4.03188454032784</v>
      </c>
      <c r="AL57" s="5">
        <f/>
        <v>0.1768820894586276</v>
      </c>
      <c r="AM57" s="5">
        <f/>
        <v>1.289926861940768</v>
      </c>
      <c r="AN57" s="5">
        <f/>
        <v>1</v>
      </c>
      <c r="AR57" s="5">
        <f t="shared" si="116"/>
        <v>6.1771129602707777</v>
      </c>
      <c r="AS57" s="5">
        <f t="shared" si="117"/>
        <v>2.0013663582267864</v>
      </c>
      <c r="AT57" s="5">
        <f t="shared" si="118"/>
        <v>3.2001385397897693</v>
      </c>
      <c r="AU57" s="5">
        <f t="shared" si="119"/>
        <v>9.908784336194719</v>
      </c>
      <c r="AV57" s="5">
        <f t="shared" si="120"/>
        <v>4.2799075156878157</v>
      </c>
      <c r="AW57" s="5">
        <f t="shared" si="121"/>
        <v>5.8303657353192087</v>
      </c>
      <c r="AX57" s="5">
        <f t="shared" si="122"/>
        <v>2.065164613401687</v>
      </c>
      <c r="AY57" s="5">
        <f t="shared" si="123"/>
        <v>2</v>
      </c>
    </row>
    <row r="58">
      <c r="A58" s="2" t="s">
        <v>6</v>
      </c>
      <c r="B58" s="11">
        <f>SUM(B50:B57)</f>
        <v>19.699999999999999</v>
      </c>
      <c r="C58" s="11">
        <f>SUM(C50:C57)</f>
        <v>7.0928571428571425</v>
      </c>
      <c r="D58" s="11">
        <f>SUM(D50:D57)</f>
        <v>15.753968253968253</v>
      </c>
      <c r="E58" s="11">
        <f>SUM(E50:E57)</f>
        <v>15.81111111111111</v>
      </c>
      <c r="F58" s="11">
        <f>SUM(F50:F57)</f>
        <v>28.416666666666668</v>
      </c>
      <c r="G58" s="11">
        <f>SUM(G50:G57)</f>
        <v>26.80952380952381</v>
      </c>
      <c r="H58" s="11">
        <f>SUM(H50:H57)</f>
        <v>11.722222222222221</v>
      </c>
      <c r="I58" s="11">
        <f>SUM(I50:I57)</f>
        <v>23</v>
      </c>
    </row>
    <row r="60">
      <c r="B60" s="2" t="s">
        <v>7</v>
      </c>
      <c r="C60" s="2">
        <f>B58*T50+C58*T51+D58*T52+E58*T53+F58*T54+G58*T55+H58*T56+I58*T57</f>
        <v>16.561350178374532</v>
      </c>
    </row>
    <row r="61">
      <c r="B61" s="2" t="s">
        <v>8</v>
      </c>
      <c r="C61" s="2">
        <f>(C60-8)/7</f>
        <v>1.223050025482076</v>
      </c>
    </row>
    <row r="62">
      <c r="B62" s="2" t="s">
        <v>9</v>
      </c>
      <c r="C62" s="2">
        <f>C61/1.41</f>
        <v>0.86741136559012488</v>
      </c>
    </row>
    <row r="66">
      <c r="A66" s="2" t="s">
        <v>21</v>
      </c>
    </row>
    <row r="67">
      <c r="T67" s="12" t="s">
        <v>3</v>
      </c>
    </row>
    <row r="68">
      <c r="B68" s="4">
        <v>1</v>
      </c>
      <c r="C68" s="4">
        <v>0.33333333333333331</v>
      </c>
      <c r="D68" s="4">
        <v>6</v>
      </c>
      <c r="E68" s="4">
        <v>0.20000000000000001</v>
      </c>
      <c r="F68" s="4">
        <v>1</v>
      </c>
      <c r="G68" s="4">
        <v>3</v>
      </c>
      <c r="H68" s="4">
        <v>0.1111111111111111</v>
      </c>
      <c r="I68" s="4">
        <v>5</v>
      </c>
      <c r="L68" s="5">
        <f t="shared" si="107"/>
        <v>0.053120849933598939</v>
      </c>
      <c r="M68" s="5">
        <f t="shared" si="108"/>
        <v>0.046995636119503185</v>
      </c>
      <c r="N68" s="5">
        <f t="shared" si="109"/>
        <v>0.38085642317380353</v>
      </c>
      <c r="O68" s="5">
        <f t="shared" si="110"/>
        <v>0.012649332396345751</v>
      </c>
      <c r="P68" s="5">
        <f t="shared" si="111"/>
        <v>0.029055690072639227</v>
      </c>
      <c r="Q68" s="5">
        <f t="shared" si="112"/>
        <v>0.11190053285968028</v>
      </c>
      <c r="R68" s="5">
        <f t="shared" si="113"/>
        <v>0.010243277848911651</v>
      </c>
      <c r="S68" s="6">
        <f t="shared" si="114"/>
        <v>0.16666666666666666</v>
      </c>
      <c r="T68" s="5">
        <f t="shared" si="115"/>
        <v>0.10143605113389365</v>
      </c>
      <c r="W68" s="5">
        <v>1</v>
      </c>
      <c r="X68" s="5">
        <f>(C68*$T$2)/T69</f>
        <v>0.23284976549932898</v>
      </c>
      <c r="Y68" s="5">
        <f>(D68*$T$2)/T70</f>
        <v>6.8502230311059957</v>
      </c>
      <c r="Z68" s="5">
        <f>(E68*$T$2)/T71</f>
        <v>0.2206494200933389</v>
      </c>
      <c r="AA68" s="5">
        <f>(F68*$T$2)/T72</f>
        <v>1.6534874829435955</v>
      </c>
      <c r="AB68" s="5">
        <f>(G68*$T$2)/T73</f>
        <v>3.3981644093022316</v>
      </c>
      <c r="AC68" s="5">
        <f>(H68*$T$2)/T74</f>
        <v>0.10355012947305511</v>
      </c>
      <c r="AD68" s="5">
        <f>(I68*$T$2)/T75</f>
        <v>6.01074421041322</v>
      </c>
      <c r="AG68" s="5">
        <f t="array" ref="AG68:AN75">TRANSPOSE(W68:AD75)</f>
        <v>1</v>
      </c>
      <c r="AH68" s="5">
        <f/>
        <v>4.2946145891775949</v>
      </c>
      <c r="AI68" s="5">
        <f/>
        <v>0.1459806484342373</v>
      </c>
      <c r="AJ68" s="5">
        <f/>
        <v>4.5320762664002512</v>
      </c>
      <c r="AK68" s="5">
        <f/>
        <v>0.60478232240365404</v>
      </c>
      <c r="AL68" s="5">
        <f/>
        <v>0.29427652095424572</v>
      </c>
      <c r="AM68" s="5">
        <f/>
        <v>9.6571583742945588</v>
      </c>
      <c r="AN68" s="5">
        <f/>
        <v>0.1663687498575577</v>
      </c>
      <c r="AR68" s="5">
        <f t="shared" si="116"/>
        <v>2</v>
      </c>
      <c r="AS68" s="5">
        <f t="shared" si="117"/>
        <v>4.5274643546769235</v>
      </c>
      <c r="AT68" s="5">
        <f t="shared" si="118"/>
        <v>6.9962036795402334</v>
      </c>
      <c r="AU68" s="5">
        <f t="shared" si="119"/>
        <v>4.7527256864935898</v>
      </c>
      <c r="AV68" s="5">
        <f t="shared" si="120"/>
        <v>2.2582698053472496</v>
      </c>
      <c r="AW68" s="5">
        <f t="shared" si="121"/>
        <v>3.6924409302564776</v>
      </c>
      <c r="AX68" s="5">
        <f t="shared" si="122"/>
        <v>9.7607085037676136</v>
      </c>
      <c r="AY68" s="5">
        <f t="shared" si="123"/>
        <v>6.1771129602707777</v>
      </c>
    </row>
    <row r="69">
      <c r="B69" s="4">
        <v>3</v>
      </c>
      <c r="C69" s="4">
        <v>1</v>
      </c>
      <c r="D69" s="4">
        <v>4</v>
      </c>
      <c r="E69" s="4">
        <v>6</v>
      </c>
      <c r="F69" s="4">
        <v>1</v>
      </c>
      <c r="G69" s="4">
        <v>0.33333333333333331</v>
      </c>
      <c r="H69" s="4">
        <v>5</v>
      </c>
      <c r="I69" s="4">
        <v>0.5</v>
      </c>
      <c r="L69" s="5">
        <f t="shared" si="107"/>
        <v>0.15936254980079681</v>
      </c>
      <c r="M69" s="5">
        <f t="shared" si="108"/>
        <v>0.14098690835850958</v>
      </c>
      <c r="N69" s="5">
        <f t="shared" si="109"/>
        <v>0.25390428211586902</v>
      </c>
      <c r="O69" s="5">
        <f t="shared" si="110"/>
        <v>0.37947997189037247</v>
      </c>
      <c r="P69" s="5">
        <f t="shared" si="111"/>
        <v>0.029055690072639227</v>
      </c>
      <c r="Q69" s="5">
        <f t="shared" si="112"/>
        <v>0.012433392539964476</v>
      </c>
      <c r="R69" s="5">
        <f t="shared" si="113"/>
        <v>0.46094750320102434</v>
      </c>
      <c r="S69" s="6">
        <f t="shared" si="114"/>
        <v>0.016666666666666666</v>
      </c>
      <c r="T69" s="5">
        <f t="shared" si="115"/>
        <v>0.18160462058073029</v>
      </c>
      <c r="W69" s="5">
        <f>1/X68</f>
        <v>4.2946145891775949</v>
      </c>
      <c r="X69" s="5">
        <v>1</v>
      </c>
      <c r="Y69" s="5">
        <f>(D69*$T$3)/T70</f>
        <v>7.3220507609515328</v>
      </c>
      <c r="Z69" s="5">
        <f>(E69*$T$3)/T71</f>
        <v>10.613126187757059</v>
      </c>
      <c r="AA69" s="5">
        <f>(F69*$T$3)/T72</f>
        <v>2.651063891146682</v>
      </c>
      <c r="AB69" s="5">
        <f>(G69*$T$3)/T73</f>
        <v>0.60537036984017245</v>
      </c>
      <c r="AC69" s="5">
        <f>(H69*$T$3)/T74</f>
        <v>7.4710637607242862</v>
      </c>
      <c r="AD69" s="5">
        <f>(I69*$T$3)/T75</f>
        <v>0.96371258322304698</v>
      </c>
      <c r="AG69" s="5">
        <f/>
        <v>0.23284976549932901</v>
      </c>
      <c r="AH69" s="5">
        <f/>
        <v>1</v>
      </c>
      <c r="AI69" s="5">
        <f/>
        <v>0.13657375954466139</v>
      </c>
      <c r="AJ69" s="5">
        <f/>
        <v>0.094222944522563579</v>
      </c>
      <c r="AK69" s="5">
        <f/>
        <v>0.37720705386978193</v>
      </c>
      <c r="AL69" s="5">
        <f/>
        <v>1.6518813107156469</v>
      </c>
      <c r="AM69" s="5">
        <f/>
        <v>0.1338497477771565</v>
      </c>
      <c r="AN69" s="5">
        <f/>
        <v>1.0376537750037389</v>
      </c>
      <c r="AR69" s="5">
        <f t="shared" si="116"/>
        <v>4.5274643546769235</v>
      </c>
      <c r="AS69" s="5">
        <f t="shared" si="117"/>
        <v>2</v>
      </c>
      <c r="AT69" s="5">
        <f t="shared" si="118"/>
        <v>7.4586245204961941</v>
      </c>
      <c r="AU69" s="5">
        <f t="shared" si="119"/>
        <v>10.707349132279623</v>
      </c>
      <c r="AV69" s="5">
        <f t="shared" si="120"/>
        <v>3.0282709450164638</v>
      </c>
      <c r="AW69" s="5">
        <f t="shared" si="121"/>
        <v>2.2572516805558194</v>
      </c>
      <c r="AX69" s="5">
        <f t="shared" si="122"/>
        <v>7.6049135085014425</v>
      </c>
      <c r="AY69" s="5">
        <f t="shared" si="123"/>
        <v>2.001366358226786</v>
      </c>
    </row>
    <row r="70">
      <c r="B70" s="4">
        <v>0.16666666666666671</v>
      </c>
      <c r="C70" s="4">
        <v>0.25</v>
      </c>
      <c r="D70" s="4">
        <v>1</v>
      </c>
      <c r="E70" s="4">
        <v>1</v>
      </c>
      <c r="F70" s="4">
        <v>9</v>
      </c>
      <c r="G70" s="4">
        <v>7</v>
      </c>
      <c r="H70" s="4">
        <v>2</v>
      </c>
      <c r="I70" s="4">
        <v>0.33333333333333331</v>
      </c>
      <c r="L70" s="5">
        <f t="shared" si="107"/>
        <v>0.0088534749889331594</v>
      </c>
      <c r="M70" s="5">
        <f t="shared" si="108"/>
        <v>0.035246727089627394</v>
      </c>
      <c r="N70" s="5">
        <f t="shared" si="109"/>
        <v>0.063476070528967254</v>
      </c>
      <c r="O70" s="5">
        <f t="shared" si="110"/>
        <v>0.06324666198172875</v>
      </c>
      <c r="P70" s="5">
        <f t="shared" si="111"/>
        <v>0.26150121065375304</v>
      </c>
      <c r="Q70" s="5">
        <f t="shared" si="112"/>
        <v>0.261101243339254</v>
      </c>
      <c r="R70" s="5">
        <f t="shared" si="113"/>
        <v>0.18437900128040974</v>
      </c>
      <c r="S70" s="6">
        <f t="shared" si="114"/>
        <v>0.01111111111111111</v>
      </c>
      <c r="T70" s="5">
        <f t="shared" si="115"/>
        <v>0.11111443762172306</v>
      </c>
      <c r="W70" s="5">
        <f>1/Y68</f>
        <v>0.14598064843423733</v>
      </c>
      <c r="X70" s="5">
        <f>1/Y69</f>
        <v>0.13657375954466144</v>
      </c>
      <c r="Y70" s="5">
        <v>1</v>
      </c>
      <c r="Z70" s="5">
        <f>(E70*$T$4)/T71</f>
        <v>0.96631636265592136</v>
      </c>
      <c r="AA70" s="5">
        <f>(F70*$T$4)/T72</f>
        <v>13.034367446652054</v>
      </c>
      <c r="AB70" s="5">
        <f>(G70*$T$4)/T73</f>
        <v>6.9449274153852167</v>
      </c>
      <c r="AC70" s="5">
        <f>(H70*$T$4)/T74</f>
        <v>1.6325620249599881</v>
      </c>
      <c r="AD70" s="5">
        <f>(I70*$T$4)/T75</f>
        <v>0.35098093496338384</v>
      </c>
      <c r="AG70" s="5">
        <f/>
        <v>6.8502230311059957</v>
      </c>
      <c r="AH70" s="5">
        <f/>
        <v>7.3220507609515328</v>
      </c>
      <c r="AI70" s="5">
        <f/>
        <v>1</v>
      </c>
      <c r="AJ70" s="5">
        <f/>
        <v>1.034857773960796</v>
      </c>
      <c r="AK70" s="5">
        <f/>
        <v>0.076720255439542279</v>
      </c>
      <c r="AL70" s="5">
        <f/>
        <v>0.14398998581103711</v>
      </c>
      <c r="AM70" s="5">
        <f/>
        <v>0.61253415472806227</v>
      </c>
      <c r="AN70" s="5">
        <f/>
        <v>2.8491576048263849</v>
      </c>
      <c r="AR70" s="5">
        <f t="shared" si="116"/>
        <v>6.9962036795402334</v>
      </c>
      <c r="AS70" s="5">
        <f t="shared" si="117"/>
        <v>7.4586245204961941</v>
      </c>
      <c r="AT70" s="5">
        <f t="shared" si="118"/>
        <v>2</v>
      </c>
      <c r="AU70" s="5">
        <f t="shared" si="119"/>
        <v>2.0011741366167173</v>
      </c>
      <c r="AV70" s="13">
        <f t="shared" si="120"/>
        <v>13.111087702091595</v>
      </c>
      <c r="AW70" s="5">
        <f t="shared" si="121"/>
        <v>7.0889174011962535</v>
      </c>
      <c r="AX70" s="5">
        <f t="shared" si="122"/>
        <v>2.2450961796880504</v>
      </c>
      <c r="AY70" s="5">
        <f t="shared" si="123"/>
        <v>3.2001385397897688</v>
      </c>
    </row>
    <row r="71" ht="18.75" customHeight="1">
      <c r="B71" s="4">
        <v>5</v>
      </c>
      <c r="C71" s="4">
        <v>0.16666666666666671</v>
      </c>
      <c r="D71" s="4">
        <v>1</v>
      </c>
      <c r="E71" s="4">
        <v>1</v>
      </c>
      <c r="F71" s="4">
        <v>0.25</v>
      </c>
      <c r="G71" s="4">
        <v>0.33333333333333331</v>
      </c>
      <c r="H71" s="4">
        <v>2</v>
      </c>
      <c r="I71" s="4">
        <v>9</v>
      </c>
      <c r="L71" s="5">
        <f t="shared" si="107"/>
        <v>0.26560424966799467</v>
      </c>
      <c r="M71" s="5">
        <f t="shared" si="108"/>
        <v>0.023497818059751603</v>
      </c>
      <c r="N71" s="5">
        <f t="shared" si="109"/>
        <v>0.063476070528967254</v>
      </c>
      <c r="O71" s="5">
        <f t="shared" si="110"/>
        <v>0.06324666198172875</v>
      </c>
      <c r="P71" s="5">
        <f t="shared" si="111"/>
        <v>0.0072639225181598066</v>
      </c>
      <c r="Q71" s="5">
        <f t="shared" si="112"/>
        <v>0.012433392539964476</v>
      </c>
      <c r="R71" s="5">
        <f t="shared" si="113"/>
        <v>0.18437900128040974</v>
      </c>
      <c r="S71" s="6">
        <f t="shared" si="114"/>
        <v>0.29999999999999999</v>
      </c>
      <c r="T71" s="5">
        <f t="shared" si="115"/>
        <v>0.11498763957212205</v>
      </c>
      <c r="W71" s="5">
        <f>1/Z68</f>
        <v>4.5320762664002512</v>
      </c>
      <c r="X71" s="5">
        <f>1/Z69</f>
        <v>0.094222944522563579</v>
      </c>
      <c r="Y71" s="5">
        <f>1/Z70</f>
        <v>1.034857773960796</v>
      </c>
      <c r="Z71" s="5">
        <v>1</v>
      </c>
      <c r="AA71" s="5">
        <f>(F71*$T$5)/T72</f>
        <v>0.37468656891192798</v>
      </c>
      <c r="AB71" s="5">
        <f>(G71*$T$5)/T73</f>
        <v>0.34223867263832614</v>
      </c>
      <c r="AC71" s="5">
        <f>(H71*$T$5)/T74</f>
        <v>1.6894695030030229</v>
      </c>
      <c r="AD71" s="5">
        <f>(I71*$T$5)/T75</f>
        <v>9.8068144245899305</v>
      </c>
      <c r="AF71" s="2" t="s">
        <v>4</v>
      </c>
      <c r="AG71" s="5">
        <f/>
        <v>0.2206494200933389</v>
      </c>
      <c r="AH71" s="5">
        <f/>
        <v>10.613126187757061</v>
      </c>
      <c r="AI71" s="5">
        <f/>
        <v>0.96631636265592136</v>
      </c>
      <c r="AJ71" s="5">
        <f/>
        <v>1</v>
      </c>
      <c r="AK71" s="5">
        <f/>
        <v>2.66889737442138</v>
      </c>
      <c r="AL71" s="5">
        <f/>
        <v>2.921937466303782</v>
      </c>
      <c r="AM71" s="5">
        <f/>
        <v>0.59190177639934038</v>
      </c>
      <c r="AN71" s="5">
        <f/>
        <v>0.10196991160478849</v>
      </c>
      <c r="AP71" s="8" t="s">
        <v>5</v>
      </c>
      <c r="AR71" s="5">
        <f t="shared" si="116"/>
        <v>4.7527256864935898</v>
      </c>
      <c r="AS71" s="5">
        <f t="shared" si="117"/>
        <v>10.707349132279624</v>
      </c>
      <c r="AT71" s="5">
        <f t="shared" si="118"/>
        <v>2.0011741366167173</v>
      </c>
      <c r="AU71" s="5">
        <f t="shared" si="119"/>
        <v>2</v>
      </c>
      <c r="AV71" s="5">
        <f t="shared" si="120"/>
        <v>3.0435839433333078</v>
      </c>
      <c r="AW71" s="5">
        <f t="shared" si="121"/>
        <v>3.264176138942108</v>
      </c>
      <c r="AX71" s="5">
        <f t="shared" si="122"/>
        <v>2.2813712794023635</v>
      </c>
      <c r="AY71" s="5">
        <f t="shared" si="123"/>
        <v>9.908784336194719</v>
      </c>
    </row>
    <row r="72">
      <c r="B72" s="4">
        <v>1</v>
      </c>
      <c r="C72" s="4">
        <v>0.14285714285714279</v>
      </c>
      <c r="D72" s="4">
        <v>0.1111111111111111</v>
      </c>
      <c r="E72" s="4">
        <v>4</v>
      </c>
      <c r="F72" s="4">
        <v>1</v>
      </c>
      <c r="G72" s="4">
        <v>0.14285714285714279</v>
      </c>
      <c r="H72" s="4">
        <v>0.5</v>
      </c>
      <c r="I72" s="4">
        <v>6</v>
      </c>
      <c r="L72" s="5">
        <f t="shared" si="107"/>
        <v>0.053120849933598939</v>
      </c>
      <c r="M72" s="5">
        <f t="shared" si="108"/>
        <v>0.020140986908358503</v>
      </c>
      <c r="N72" s="5">
        <f t="shared" si="109"/>
        <v>0.0070528967254408059</v>
      </c>
      <c r="O72" s="5">
        <f t="shared" si="110"/>
        <v>0.252986647926915</v>
      </c>
      <c r="P72" s="5">
        <f t="shared" si="111"/>
        <v>0.029055690072639227</v>
      </c>
      <c r="Q72" s="5">
        <f t="shared" si="112"/>
        <v>0.0053285968028419159</v>
      </c>
      <c r="R72" s="5">
        <f t="shared" si="113"/>
        <v>0.046094750320102434</v>
      </c>
      <c r="S72" s="6">
        <f t="shared" si="114"/>
        <v>0.20000000000000001</v>
      </c>
      <c r="T72" s="5">
        <f t="shared" si="115"/>
        <v>0.076722552336237121</v>
      </c>
      <c r="W72" s="5">
        <f>1/AA68</f>
        <v>0.60478232240365404</v>
      </c>
      <c r="X72" s="5">
        <f>1/AA69</f>
        <v>0.37720705386978187</v>
      </c>
      <c r="Y72" s="5">
        <f>1/AA70</f>
        <v>0.076720255439542279</v>
      </c>
      <c r="Z72" s="5">
        <f>1/AA71</f>
        <v>2.66889737442138</v>
      </c>
      <c r="AA72" s="5">
        <v>1</v>
      </c>
      <c r="AB72" s="5">
        <f>(G72*$T$6)/T73</f>
        <v>0.090453148058498203</v>
      </c>
      <c r="AC72" s="5">
        <f>(H72*$T$6)/T74</f>
        <v>0.26047242543281623</v>
      </c>
      <c r="AD72" s="5">
        <f>(I72*$T$6)/T75</f>
        <v>4.03188454032784</v>
      </c>
      <c r="AG72" s="5">
        <f/>
        <v>1.653487482943595</v>
      </c>
      <c r="AH72" s="5">
        <f/>
        <v>2.651063891146682</v>
      </c>
      <c r="AI72" s="5">
        <f/>
        <v>13.03436744665205</v>
      </c>
      <c r="AJ72" s="5">
        <f/>
        <v>0.37468656891192798</v>
      </c>
      <c r="AK72" s="5">
        <f/>
        <v>1</v>
      </c>
      <c r="AL72" s="5">
        <f/>
        <v>11.055447173085399</v>
      </c>
      <c r="AM72" s="5">
        <f/>
        <v>3.8391779795436749</v>
      </c>
      <c r="AN72" s="5">
        <f/>
        <v>0.248022975359976</v>
      </c>
      <c r="AR72" s="5">
        <f t="shared" si="116"/>
        <v>2.2582698053472492</v>
      </c>
      <c r="AS72" s="5">
        <f t="shared" si="117"/>
        <v>3.0282709450164638</v>
      </c>
      <c r="AT72" s="13">
        <f t="shared" si="118"/>
        <v>13.111087702091591</v>
      </c>
      <c r="AU72" s="5">
        <f t="shared" si="119"/>
        <v>3.0435839433333078</v>
      </c>
      <c r="AV72" s="5">
        <f t="shared" si="120"/>
        <v>2</v>
      </c>
      <c r="AW72" s="5">
        <f t="shared" si="121"/>
        <v>11.145900321143898</v>
      </c>
      <c r="AX72" s="5">
        <f t="shared" si="122"/>
        <v>4.099650404976491</v>
      </c>
      <c r="AY72" s="5">
        <f t="shared" si="123"/>
        <v>4.2799075156878157</v>
      </c>
    </row>
    <row r="73">
      <c r="B73" s="4">
        <v>0.33333333333333331</v>
      </c>
      <c r="C73" s="4">
        <v>3</v>
      </c>
      <c r="D73" s="4">
        <v>0.14285714285714279</v>
      </c>
      <c r="E73" s="4">
        <v>3</v>
      </c>
      <c r="F73" s="4">
        <v>7</v>
      </c>
      <c r="G73" s="4">
        <v>1</v>
      </c>
      <c r="H73" s="4">
        <v>0.1111111111111111</v>
      </c>
      <c r="I73" s="4">
        <v>0.16666666666666671</v>
      </c>
      <c r="L73" s="5">
        <f t="shared" si="107"/>
        <v>0.017706949977866312</v>
      </c>
      <c r="M73" s="5">
        <f t="shared" si="108"/>
        <v>0.42296072507552873</v>
      </c>
      <c r="N73" s="5">
        <f t="shared" si="109"/>
        <v>0.0090680100755667469</v>
      </c>
      <c r="O73" s="5">
        <f t="shared" si="110"/>
        <v>0.18973998594518623</v>
      </c>
      <c r="P73" s="5">
        <f t="shared" si="111"/>
        <v>0.20338983050847459</v>
      </c>
      <c r="Q73" s="5">
        <f t="shared" si="112"/>
        <v>0.037300177619893425</v>
      </c>
      <c r="R73" s="5">
        <f t="shared" si="113"/>
        <v>0.010243277848911651</v>
      </c>
      <c r="S73" s="6">
        <f t="shared" si="114"/>
        <v>0.0055555555555555575</v>
      </c>
      <c r="T73" s="5">
        <f t="shared" si="115"/>
        <v>0.11199556407587291</v>
      </c>
      <c r="W73" s="5">
        <f>1/AB68</f>
        <v>0.29427652095424567</v>
      </c>
      <c r="X73" s="5">
        <f>1/AB69</f>
        <v>1.6518813107156469</v>
      </c>
      <c r="Y73" s="5">
        <f>1/AB70</f>
        <v>0.14398998581103711</v>
      </c>
      <c r="Z73" s="5">
        <f>1/AB71</f>
        <v>2.9219374663037816</v>
      </c>
      <c r="AA73" s="5">
        <f>1/AB72</f>
        <v>11.05544717308541</v>
      </c>
      <c r="AB73" s="5">
        <v>1</v>
      </c>
      <c r="AC73" s="5">
        <f>(H73*$T$7)/T74</f>
        <v>0.091417115537077057</v>
      </c>
      <c r="AD73" s="5">
        <f>(I73*$T$7)/T75</f>
        <v>0.17688208945862771</v>
      </c>
      <c r="AG73" s="5">
        <f/>
        <v>3.3981644093022321</v>
      </c>
      <c r="AH73" s="5">
        <f/>
        <v>0.60537036984017245</v>
      </c>
      <c r="AI73" s="5">
        <f/>
        <v>6.9449274153852167</v>
      </c>
      <c r="AJ73" s="5">
        <f/>
        <v>0.34223867263832608</v>
      </c>
      <c r="AK73" s="5">
        <f/>
        <v>0.090453148058498245</v>
      </c>
      <c r="AL73" s="5">
        <f/>
        <v>1</v>
      </c>
      <c r="AM73" s="5">
        <f/>
        <v>10.93887062750759</v>
      </c>
      <c r="AN73" s="5">
        <f/>
        <v>5.6534836458605833</v>
      </c>
      <c r="AR73" s="5">
        <f t="shared" si="116"/>
        <v>3.6924409302564776</v>
      </c>
      <c r="AS73" s="5">
        <f t="shared" si="117"/>
        <v>2.2572516805558194</v>
      </c>
      <c r="AT73" s="5">
        <f t="shared" si="118"/>
        <v>7.0889174011962535</v>
      </c>
      <c r="AU73" s="5">
        <f t="shared" si="119"/>
        <v>3.2641761389421076</v>
      </c>
      <c r="AV73" s="5">
        <f t="shared" si="120"/>
        <v>11.145900321143909</v>
      </c>
      <c r="AW73" s="5">
        <f t="shared" si="121"/>
        <v>2</v>
      </c>
      <c r="AX73" s="5">
        <f t="shared" si="122"/>
        <v>11.030287743044667</v>
      </c>
      <c r="AY73" s="5">
        <f t="shared" si="123"/>
        <v>5.8303657353192113</v>
      </c>
    </row>
    <row r="74">
      <c r="B74" s="4">
        <v>9</v>
      </c>
      <c r="C74" s="4">
        <v>0.20000000000000001</v>
      </c>
      <c r="D74" s="4">
        <v>0.5</v>
      </c>
      <c r="E74" s="4">
        <v>0.5</v>
      </c>
      <c r="F74" s="4">
        <v>2</v>
      </c>
      <c r="G74" s="4">
        <v>9</v>
      </c>
      <c r="H74" s="4">
        <v>1</v>
      </c>
      <c r="I74" s="4">
        <v>1</v>
      </c>
      <c r="L74" s="5">
        <f t="shared" si="107"/>
        <v>0.47808764940239046</v>
      </c>
      <c r="M74" s="5">
        <f t="shared" si="108"/>
        <v>0.028197381671701917</v>
      </c>
      <c r="N74" s="5">
        <f t="shared" si="109"/>
        <v>0.031738035264483627</v>
      </c>
      <c r="O74" s="5">
        <f t="shared" si="110"/>
        <v>0.031623330990864375</v>
      </c>
      <c r="P74" s="5">
        <f t="shared" si="111"/>
        <v>0.058111380145278453</v>
      </c>
      <c r="Q74" s="5">
        <f t="shared" si="112"/>
        <v>0.33570159857904086</v>
      </c>
      <c r="R74" s="5">
        <f t="shared" si="113"/>
        <v>0.092189500640204869</v>
      </c>
      <c r="S74" s="6">
        <f t="shared" si="114"/>
        <v>0.033333333333333333</v>
      </c>
      <c r="T74" s="5">
        <f t="shared" si="115"/>
        <v>0.13612277625341226</v>
      </c>
      <c r="W74" s="5">
        <f>1/AC68</f>
        <v>9.6571583742945588</v>
      </c>
      <c r="X74" s="5">
        <f>1/AC69</f>
        <v>0.1338497477771565</v>
      </c>
      <c r="Y74" s="5">
        <f>1/AC70</f>
        <v>0.61253415472806227</v>
      </c>
      <c r="Z74" s="5">
        <f>1/AC71</f>
        <v>0.59190177639934038</v>
      </c>
      <c r="AA74" s="5">
        <f>1/AC72</f>
        <v>3.8391779795436749</v>
      </c>
      <c r="AB74" s="5">
        <f>1/AC73</f>
        <v>10.93887062750759</v>
      </c>
      <c r="AC74" s="5">
        <v>1</v>
      </c>
      <c r="AD74" s="5">
        <f>(I74*T74)/T75</f>
        <v>1.2899268619407678</v>
      </c>
      <c r="AG74" s="5">
        <f/>
        <v>0.1035501294730551</v>
      </c>
      <c r="AH74" s="5">
        <f/>
        <v>7.4710637607242862</v>
      </c>
      <c r="AI74" s="5">
        <f/>
        <v>1.6325620249599879</v>
      </c>
      <c r="AJ74" s="5">
        <f/>
        <v>1.6894695030030229</v>
      </c>
      <c r="AK74" s="5">
        <f/>
        <v>0.26047242543281618</v>
      </c>
      <c r="AL74" s="5">
        <f/>
        <v>0.091417115537077057</v>
      </c>
      <c r="AM74" s="5">
        <f/>
        <v>1</v>
      </c>
      <c r="AN74" s="5">
        <f/>
        <v>0.77523775146091889</v>
      </c>
      <c r="AR74" s="5">
        <f t="shared" si="116"/>
        <v>9.7607085037676136</v>
      </c>
      <c r="AS74" s="5">
        <f t="shared" si="117"/>
        <v>7.6049135085014425</v>
      </c>
      <c r="AT74" s="5">
        <f t="shared" si="118"/>
        <v>2.2450961796880504</v>
      </c>
      <c r="AU74" s="5">
        <f t="shared" si="119"/>
        <v>2.2813712794023635</v>
      </c>
      <c r="AV74" s="5">
        <f t="shared" si="120"/>
        <v>4.099650404976491</v>
      </c>
      <c r="AW74" s="5">
        <f t="shared" si="121"/>
        <v>11.030287743044667</v>
      </c>
      <c r="AX74" s="5">
        <f t="shared" si="122"/>
        <v>2</v>
      </c>
      <c r="AY74" s="5">
        <f t="shared" si="123"/>
        <v>2.0651646134016866</v>
      </c>
    </row>
    <row r="75">
      <c r="B75" s="10">
        <v>0.20000000000000001</v>
      </c>
      <c r="C75" s="10">
        <v>2</v>
      </c>
      <c r="D75" s="10">
        <v>3</v>
      </c>
      <c r="E75" s="10">
        <v>0.1111111111111111</v>
      </c>
      <c r="F75" s="10">
        <v>0.16666666666666671</v>
      </c>
      <c r="G75" s="10">
        <v>6</v>
      </c>
      <c r="H75" s="10">
        <v>1</v>
      </c>
      <c r="I75" s="10">
        <v>1</v>
      </c>
      <c r="L75" s="5">
        <f t="shared" si="107"/>
        <v>0.010624169986719788</v>
      </c>
      <c r="M75" s="5">
        <f t="shared" si="108"/>
        <v>0.28197381671701915</v>
      </c>
      <c r="N75" s="5">
        <f t="shared" si="109"/>
        <v>0.19042821158690176</v>
      </c>
      <c r="O75" s="5">
        <f t="shared" si="110"/>
        <v>0.0070274068868587496</v>
      </c>
      <c r="P75" s="5">
        <f t="shared" si="111"/>
        <v>0.0048426150121065395</v>
      </c>
      <c r="Q75" s="5">
        <f t="shared" si="112"/>
        <v>0.22380106571936056</v>
      </c>
      <c r="R75" s="5">
        <f t="shared" si="113"/>
        <v>0.092189500640204869</v>
      </c>
      <c r="S75" s="6">
        <f t="shared" si="114"/>
        <v>0.033333333333333333</v>
      </c>
      <c r="T75" s="5">
        <f t="shared" si="115"/>
        <v>0.10552751498531308</v>
      </c>
      <c r="W75" s="5">
        <f>1/AD68</f>
        <v>0.16636874985755767</v>
      </c>
      <c r="X75" s="5">
        <f>1/AD69</f>
        <v>1.0376537750037393</v>
      </c>
      <c r="Y75" s="5">
        <f>1/AD70</f>
        <v>2.8491576048263854</v>
      </c>
      <c r="Z75" s="5">
        <f>1/AD71</f>
        <v>0.10196991160478849</v>
      </c>
      <c r="AA75" s="5">
        <f>1/AD72</f>
        <v>0.248022975359976</v>
      </c>
      <c r="AB75" s="5">
        <f>1/AD73</f>
        <v>5.6534836458605806</v>
      </c>
      <c r="AC75" s="5">
        <f>1/AD74</f>
        <v>0.77523775146091889</v>
      </c>
      <c r="AD75" s="5">
        <v>1</v>
      </c>
      <c r="AG75" s="5">
        <f/>
        <v>6.01074421041322</v>
      </c>
      <c r="AH75" s="5">
        <f/>
        <v>0.96371258322304698</v>
      </c>
      <c r="AI75" s="5">
        <f/>
        <v>0.35098093496338378</v>
      </c>
      <c r="AJ75" s="5">
        <f/>
        <v>9.8068144245899305</v>
      </c>
      <c r="AK75" s="5">
        <f/>
        <v>4.03188454032784</v>
      </c>
      <c r="AL75" s="5">
        <f/>
        <v>0.1768820894586276</v>
      </c>
      <c r="AM75" s="5">
        <f/>
        <v>1.289926861940768</v>
      </c>
      <c r="AN75" s="5">
        <f/>
        <v>1</v>
      </c>
      <c r="AR75" s="5">
        <f t="shared" si="116"/>
        <v>6.1771129602707777</v>
      </c>
      <c r="AS75" s="5">
        <f t="shared" si="117"/>
        <v>2.0013663582267864</v>
      </c>
      <c r="AT75" s="5">
        <f t="shared" si="118"/>
        <v>3.2001385397897693</v>
      </c>
      <c r="AU75" s="5">
        <f t="shared" si="119"/>
        <v>9.908784336194719</v>
      </c>
      <c r="AV75" s="5">
        <f t="shared" si="120"/>
        <v>4.2799075156878157</v>
      </c>
      <c r="AW75" s="5">
        <f t="shared" si="121"/>
        <v>5.8303657353192087</v>
      </c>
      <c r="AX75" s="5">
        <f t="shared" si="122"/>
        <v>2.065164613401687</v>
      </c>
      <c r="AY75" s="5">
        <f t="shared" si="123"/>
        <v>2</v>
      </c>
    </row>
    <row r="76">
      <c r="A76" s="2" t="s">
        <v>6</v>
      </c>
      <c r="B76" s="11">
        <f>SUM(B68:B75)</f>
        <v>19.699999999999999</v>
      </c>
      <c r="C76" s="11">
        <f>SUM(C68:C75)</f>
        <v>7.0928571428571425</v>
      </c>
      <c r="D76" s="11">
        <f>SUM(D68:D75)</f>
        <v>15.753968253968253</v>
      </c>
      <c r="E76" s="11">
        <f>SUM(E68:E75)</f>
        <v>15.81111111111111</v>
      </c>
      <c r="F76" s="11">
        <f>SUM(F68:F75)</f>
        <v>21.416666666666668</v>
      </c>
      <c r="G76" s="11">
        <f>SUM(G68:G75)</f>
        <v>26.80952380952381</v>
      </c>
      <c r="H76" s="11">
        <f>SUM(H68:H75)</f>
        <v>11.722222222222221</v>
      </c>
      <c r="I76" s="11">
        <f>SUM(I68:I75)</f>
        <v>23</v>
      </c>
    </row>
    <row r="78">
      <c r="B78" s="2" t="s">
        <v>7</v>
      </c>
      <c r="C78" s="2">
        <f>B76*T68+C76*T69+D76*T70+E76*T71+F76*T72+G76*T73+H76*T74+I76*T75</f>
        <v>15.523444854393755</v>
      </c>
    </row>
    <row r="79">
      <c r="B79" s="2" t="s">
        <v>8</v>
      </c>
      <c r="C79" s="2">
        <f>(C78-8)/7</f>
        <v>1.0747778363419651</v>
      </c>
    </row>
    <row r="80">
      <c r="B80" s="2" t="s">
        <v>9</v>
      </c>
      <c r="C80" s="2">
        <f>C79/1.41</f>
        <v>0.76225378463969162</v>
      </c>
    </row>
    <row r="85">
      <c r="A85" s="2" t="s">
        <v>22</v>
      </c>
    </row>
    <row r="86">
      <c r="T86" s="12" t="s">
        <v>3</v>
      </c>
    </row>
    <row r="87">
      <c r="B87" s="4">
        <v>1</v>
      </c>
      <c r="C87" s="4">
        <v>0.33333333333333331</v>
      </c>
      <c r="D87" s="4">
        <v>6</v>
      </c>
      <c r="E87" s="4">
        <v>0.20000000000000001</v>
      </c>
      <c r="F87" s="4">
        <v>1</v>
      </c>
      <c r="G87" s="4">
        <v>3</v>
      </c>
      <c r="H87" s="4">
        <v>0.1111111111111111</v>
      </c>
      <c r="I87" s="4">
        <v>5</v>
      </c>
      <c r="L87" s="5">
        <f t="shared" ref="L82:L94" si="124">B87/$B$10</f>
        <v>0.053120849933598939</v>
      </c>
      <c r="M87" s="5">
        <f t="shared" ref="M82:M94" si="125">C87/$C$10</f>
        <v>0.046995636119503185</v>
      </c>
      <c r="N87" s="5">
        <f t="shared" ref="N82:N94" si="126">D87/$D$10</f>
        <v>0.38085642317380353</v>
      </c>
      <c r="O87" s="5">
        <f t="shared" ref="O82:O94" si="127">E87/$E$10</f>
        <v>0.012649332396345751</v>
      </c>
      <c r="P87" s="5">
        <f t="shared" ref="P82:P94" si="128">F87/$F$10</f>
        <v>0.029055690072639227</v>
      </c>
      <c r="Q87" s="5">
        <f t="shared" ref="Q82:Q94" si="129">G87/$G$10</f>
        <v>0.11190053285968028</v>
      </c>
      <c r="R87" s="5">
        <f t="shared" ref="R82:R94" si="130">H87/$H$10</f>
        <v>0.010243277848911651</v>
      </c>
      <c r="S87" s="6">
        <f t="shared" ref="S82:S94" si="131">I87/$I$10</f>
        <v>0.16666666666666666</v>
      </c>
      <c r="T87" s="5">
        <f t="shared" ref="T82:T94" si="132">AVERAGE(L87:S87)</f>
        <v>0.10143605113389365</v>
      </c>
      <c r="W87" s="5">
        <v>1</v>
      </c>
      <c r="X87" s="5">
        <f>(C87*$T$2)/T88</f>
        <v>0.23284976549932898</v>
      </c>
      <c r="Y87" s="5">
        <f>(D87*$T$2)/T89</f>
        <v>9.2757774450484671</v>
      </c>
      <c r="Z87" s="5">
        <f>(E87*$T$2)/T90</f>
        <v>0.2206494200933389</v>
      </c>
      <c r="AA87" s="5">
        <f>(F87*$T$2)/T91</f>
        <v>1.6534874829435955</v>
      </c>
      <c r="AB87" s="5">
        <f>(G87*$T$2)/T92</f>
        <v>3.3981644093022316</v>
      </c>
      <c r="AC87" s="5">
        <f>(H87*$T$2)/T93</f>
        <v>0.10355012947305511</v>
      </c>
      <c r="AD87" s="5">
        <f>(I87*$T$2)/T94</f>
        <v>6.01074421041322</v>
      </c>
      <c r="AG87" s="5">
        <f t="array" ref="AG87:AN94">TRANSPOSE(W87:AD94)</f>
        <v>1</v>
      </c>
      <c r="AH87" s="5">
        <f/>
        <v>4.2946145891775949</v>
      </c>
      <c r="AI87" s="5">
        <f/>
        <v>0.10780767498187591</v>
      </c>
      <c r="AJ87" s="5">
        <f/>
        <v>4.5320762664002512</v>
      </c>
      <c r="AK87" s="5">
        <f/>
        <v>0.60478232240365404</v>
      </c>
      <c r="AL87" s="5">
        <f/>
        <v>0.29427652095424572</v>
      </c>
      <c r="AM87" s="5">
        <f/>
        <v>9.6571583742945588</v>
      </c>
      <c r="AN87" s="5">
        <f/>
        <v>0.1663687498575577</v>
      </c>
      <c r="AR87" s="5">
        <f t="shared" ref="AR82:AR94" si="133">W87+AG87</f>
        <v>2</v>
      </c>
      <c r="AS87" s="5">
        <f t="shared" ref="AS82:AS94" si="134">X87+AH87</f>
        <v>4.5274643546769235</v>
      </c>
      <c r="AT87" s="5">
        <f t="shared" ref="AT82:AT94" si="135">Y87+AI87</f>
        <v>9.3835851200303431</v>
      </c>
      <c r="AU87" s="5">
        <f t="shared" ref="AU82:AU94" si="136">Z87+AJ87</f>
        <v>4.7527256864935898</v>
      </c>
      <c r="AV87" s="5">
        <f t="shared" ref="AV82:AV94" si="137">AA87+AK87</f>
        <v>2.2582698053472496</v>
      </c>
      <c r="AW87" s="5">
        <f t="shared" ref="AW82:AW94" si="138">AB87+AL87</f>
        <v>3.6924409302564776</v>
      </c>
      <c r="AX87" s="5">
        <f t="shared" ref="AX82:AX94" si="139">AC87+AM87</f>
        <v>9.7607085037676136</v>
      </c>
      <c r="AY87" s="5">
        <f t="shared" ref="AY82:AY94" si="140">AD87+AN87</f>
        <v>6.1771129602707777</v>
      </c>
    </row>
    <row r="88">
      <c r="B88" s="4">
        <v>3</v>
      </c>
      <c r="C88" s="4">
        <v>1</v>
      </c>
      <c r="D88" s="4">
        <v>4</v>
      </c>
      <c r="E88" s="4">
        <v>6</v>
      </c>
      <c r="F88" s="4">
        <v>1</v>
      </c>
      <c r="G88" s="4">
        <v>0.33333333333333331</v>
      </c>
      <c r="H88" s="4">
        <v>5</v>
      </c>
      <c r="I88" s="4">
        <v>0.5</v>
      </c>
      <c r="L88" s="5">
        <f t="shared" si="124"/>
        <v>0.15936254980079681</v>
      </c>
      <c r="M88" s="5">
        <f t="shared" si="125"/>
        <v>0.14098690835850958</v>
      </c>
      <c r="N88" s="5">
        <f t="shared" si="126"/>
        <v>0.25390428211586902</v>
      </c>
      <c r="O88" s="5">
        <f t="shared" si="127"/>
        <v>0.37947997189037247</v>
      </c>
      <c r="P88" s="5">
        <f t="shared" si="128"/>
        <v>0.029055690072639227</v>
      </c>
      <c r="Q88" s="5">
        <f t="shared" si="129"/>
        <v>0.012433392539964476</v>
      </c>
      <c r="R88" s="5">
        <f t="shared" si="130"/>
        <v>0.46094750320102434</v>
      </c>
      <c r="S88" s="6">
        <f t="shared" si="131"/>
        <v>0.016666666666666666</v>
      </c>
      <c r="T88" s="5">
        <f t="shared" si="132"/>
        <v>0.18160462058073029</v>
      </c>
      <c r="W88" s="5">
        <f>1/X87</f>
        <v>4.2946145891775949</v>
      </c>
      <c r="X88" s="5">
        <v>1</v>
      </c>
      <c r="Y88" s="5">
        <f>(D88*$T$3)/T89</f>
        <v>9.9146718276950185</v>
      </c>
      <c r="Z88" s="5">
        <f>(E88*$T$3)/T90</f>
        <v>10.613126187757059</v>
      </c>
      <c r="AA88" s="5">
        <f>(F88*$T$3)/T91</f>
        <v>2.651063891146682</v>
      </c>
      <c r="AB88" s="5">
        <f>(G88*$T$3)/T92</f>
        <v>0.60537036984017245</v>
      </c>
      <c r="AC88" s="5">
        <f>(H88*$T$3)/T93</f>
        <v>7.4710637607242862</v>
      </c>
      <c r="AD88" s="5">
        <f>(I88*$T$3)/T94</f>
        <v>0.96371258322304698</v>
      </c>
      <c r="AG88" s="5">
        <f/>
        <v>0.23284976549932901</v>
      </c>
      <c r="AH88" s="5">
        <f/>
        <v>1</v>
      </c>
      <c r="AI88" s="5">
        <f/>
        <v>0.1008606252812789</v>
      </c>
      <c r="AJ88" s="5">
        <f/>
        <v>0.094222944522563579</v>
      </c>
      <c r="AK88" s="5">
        <f/>
        <v>0.37720705386978193</v>
      </c>
      <c r="AL88" s="5">
        <f/>
        <v>1.6518813107156469</v>
      </c>
      <c r="AM88" s="5">
        <f/>
        <v>0.1338497477771565</v>
      </c>
      <c r="AN88" s="5">
        <f/>
        <v>1.0376537750037389</v>
      </c>
      <c r="AR88" s="5">
        <f t="shared" si="133"/>
        <v>4.5274643546769235</v>
      </c>
      <c r="AS88" s="5">
        <f t="shared" si="134"/>
        <v>2</v>
      </c>
      <c r="AT88" s="5">
        <f t="shared" si="135"/>
        <v>10.015532452976297</v>
      </c>
      <c r="AU88" s="5">
        <f t="shared" si="136"/>
        <v>10.707349132279623</v>
      </c>
      <c r="AV88" s="5">
        <f t="shared" si="137"/>
        <v>3.0282709450164638</v>
      </c>
      <c r="AW88" s="5">
        <f t="shared" si="138"/>
        <v>2.2572516805558194</v>
      </c>
      <c r="AX88" s="5">
        <f t="shared" si="139"/>
        <v>7.6049135085014425</v>
      </c>
      <c r="AY88" s="5">
        <f t="shared" si="140"/>
        <v>2.001366358226786</v>
      </c>
    </row>
    <row r="89">
      <c r="B89" s="4">
        <v>0.16666666666666671</v>
      </c>
      <c r="C89" s="4">
        <v>0.25</v>
      </c>
      <c r="D89" s="4">
        <v>1</v>
      </c>
      <c r="E89" s="4">
        <v>1</v>
      </c>
      <c r="F89" s="4">
        <v>1</v>
      </c>
      <c r="G89" s="4">
        <v>7</v>
      </c>
      <c r="H89" s="4">
        <v>2</v>
      </c>
      <c r="I89" s="4">
        <v>0.33333333333333331</v>
      </c>
      <c r="L89" s="5">
        <f t="shared" si="124"/>
        <v>0.0088534749889331594</v>
      </c>
      <c r="M89" s="5">
        <f t="shared" si="125"/>
        <v>0.035246727089627394</v>
      </c>
      <c r="N89" s="5">
        <f t="shared" si="126"/>
        <v>0.063476070528967254</v>
      </c>
      <c r="O89" s="5">
        <f t="shared" si="127"/>
        <v>0.06324666198172875</v>
      </c>
      <c r="P89" s="5">
        <f t="shared" si="128"/>
        <v>0.029055690072639227</v>
      </c>
      <c r="Q89" s="5">
        <f t="shared" si="129"/>
        <v>0.261101243339254</v>
      </c>
      <c r="R89" s="5">
        <f t="shared" si="130"/>
        <v>0.18437900128040974</v>
      </c>
      <c r="S89" s="6">
        <f t="shared" si="131"/>
        <v>0.01111111111111111</v>
      </c>
      <c r="T89" s="5">
        <f t="shared" si="132"/>
        <v>0.082058747549083821</v>
      </c>
      <c r="W89" s="5">
        <f>1/Y87</f>
        <v>0.10780767498187586</v>
      </c>
      <c r="X89" s="5">
        <f>1/Y88</f>
        <v>0.10086062528127891</v>
      </c>
      <c r="Y89" s="5">
        <v>1</v>
      </c>
      <c r="Z89" s="5">
        <f>(E89*$T$4)/T90</f>
        <v>0.96631636265592136</v>
      </c>
      <c r="AA89" s="5">
        <f>(F89*$T$4)/T91</f>
        <v>1.4482630496280058</v>
      </c>
      <c r="AB89" s="5">
        <f>(G89*$T$4)/T92</f>
        <v>6.9449274153852167</v>
      </c>
      <c r="AC89" s="5">
        <f>(H89*$T$4)/T93</f>
        <v>1.6325620249599881</v>
      </c>
      <c r="AD89" s="5">
        <f>(I89*$T$4)/T94</f>
        <v>0.35098093496338384</v>
      </c>
      <c r="AG89" s="5">
        <f/>
        <v>9.2757774450484671</v>
      </c>
      <c r="AH89" s="5">
        <f/>
        <v>9.9146718276950185</v>
      </c>
      <c r="AI89" s="5">
        <f/>
        <v>1</v>
      </c>
      <c r="AJ89" s="5">
        <f/>
        <v>1.034857773960796</v>
      </c>
      <c r="AK89" s="5">
        <f/>
        <v>0.69048229895588054</v>
      </c>
      <c r="AL89" s="5">
        <f/>
        <v>0.14398998581103711</v>
      </c>
      <c r="AM89" s="5">
        <f/>
        <v>0.61253415472806227</v>
      </c>
      <c r="AN89" s="5">
        <f/>
        <v>2.8491576048263849</v>
      </c>
      <c r="AR89" s="5">
        <f t="shared" si="133"/>
        <v>9.3835851200303431</v>
      </c>
      <c r="AS89" s="5">
        <f t="shared" si="134"/>
        <v>10.015532452976297</v>
      </c>
      <c r="AT89" s="5">
        <f t="shared" si="135"/>
        <v>2</v>
      </c>
      <c r="AU89" s="5">
        <f t="shared" si="136"/>
        <v>2.0011741366167173</v>
      </c>
      <c r="AV89" s="5">
        <f t="shared" si="137"/>
        <v>2.1387453485838863</v>
      </c>
      <c r="AW89" s="5">
        <f t="shared" si="138"/>
        <v>7.0889174011962535</v>
      </c>
      <c r="AX89" s="5">
        <f t="shared" si="139"/>
        <v>2.2450961796880504</v>
      </c>
      <c r="AY89" s="5">
        <f t="shared" si="140"/>
        <v>3.2001385397897688</v>
      </c>
    </row>
    <row r="90" ht="18.75" customHeight="1">
      <c r="B90" s="4">
        <v>5</v>
      </c>
      <c r="C90" s="4">
        <v>0.16666666666666671</v>
      </c>
      <c r="D90" s="4">
        <v>1</v>
      </c>
      <c r="E90" s="4">
        <v>1</v>
      </c>
      <c r="F90" s="4">
        <v>0.25</v>
      </c>
      <c r="G90" s="4">
        <v>0.33333333333333331</v>
      </c>
      <c r="H90" s="4">
        <v>2</v>
      </c>
      <c r="I90" s="4">
        <v>9</v>
      </c>
      <c r="L90" s="5">
        <f t="shared" si="124"/>
        <v>0.26560424966799467</v>
      </c>
      <c r="M90" s="5">
        <f t="shared" si="125"/>
        <v>0.023497818059751603</v>
      </c>
      <c r="N90" s="5">
        <f t="shared" si="126"/>
        <v>0.063476070528967254</v>
      </c>
      <c r="O90" s="5">
        <f t="shared" si="127"/>
        <v>0.06324666198172875</v>
      </c>
      <c r="P90" s="5">
        <f t="shared" si="128"/>
        <v>0.0072639225181598066</v>
      </c>
      <c r="Q90" s="5">
        <f t="shared" si="129"/>
        <v>0.012433392539964476</v>
      </c>
      <c r="R90" s="5">
        <f t="shared" si="130"/>
        <v>0.18437900128040974</v>
      </c>
      <c r="S90" s="6">
        <f t="shared" si="131"/>
        <v>0.29999999999999999</v>
      </c>
      <c r="T90" s="5">
        <f t="shared" si="132"/>
        <v>0.11498763957212205</v>
      </c>
      <c r="W90" s="5">
        <f>1/Z87</f>
        <v>4.5320762664002512</v>
      </c>
      <c r="X90" s="5">
        <f>1/Z88</f>
        <v>0.094222944522563579</v>
      </c>
      <c r="Y90" s="5">
        <f>1/Z89</f>
        <v>1.034857773960796</v>
      </c>
      <c r="Z90" s="5">
        <v>1</v>
      </c>
      <c r="AA90" s="5">
        <f>(F90*$T$5)/T91</f>
        <v>0.37468656891192798</v>
      </c>
      <c r="AB90" s="5">
        <f>(G90*$T$5)/T92</f>
        <v>0.34223867263832614</v>
      </c>
      <c r="AC90" s="5">
        <f>(H90*$T$5)/T93</f>
        <v>1.6894695030030229</v>
      </c>
      <c r="AD90" s="5">
        <f>(I90*$T$5)/T94</f>
        <v>9.8068144245899305</v>
      </c>
      <c r="AF90" s="2" t="s">
        <v>4</v>
      </c>
      <c r="AG90" s="5">
        <f/>
        <v>0.2206494200933389</v>
      </c>
      <c r="AH90" s="5">
        <f/>
        <v>10.613126187757061</v>
      </c>
      <c r="AI90" s="5">
        <f/>
        <v>0.96631636265592136</v>
      </c>
      <c r="AJ90" s="5">
        <f/>
        <v>1</v>
      </c>
      <c r="AK90" s="5">
        <f/>
        <v>2.66889737442138</v>
      </c>
      <c r="AL90" s="5">
        <f/>
        <v>2.921937466303782</v>
      </c>
      <c r="AM90" s="5">
        <f/>
        <v>0.59190177639934038</v>
      </c>
      <c r="AN90" s="5">
        <f/>
        <v>0.10196991160478849</v>
      </c>
      <c r="AP90" s="8" t="s">
        <v>5</v>
      </c>
      <c r="AR90" s="5">
        <f t="shared" si="133"/>
        <v>4.7527256864935898</v>
      </c>
      <c r="AS90" s="5">
        <f t="shared" si="134"/>
        <v>10.707349132279624</v>
      </c>
      <c r="AT90" s="5">
        <f t="shared" si="135"/>
        <v>2.0011741366167173</v>
      </c>
      <c r="AU90" s="5">
        <f t="shared" si="136"/>
        <v>2</v>
      </c>
      <c r="AV90" s="5">
        <f t="shared" si="137"/>
        <v>3.0435839433333078</v>
      </c>
      <c r="AW90" s="5">
        <f t="shared" si="138"/>
        <v>3.264176138942108</v>
      </c>
      <c r="AX90" s="5">
        <f t="shared" si="139"/>
        <v>2.2813712794023635</v>
      </c>
      <c r="AY90" s="5">
        <f t="shared" si="140"/>
        <v>9.908784336194719</v>
      </c>
    </row>
    <row r="91">
      <c r="B91" s="4">
        <v>1</v>
      </c>
      <c r="C91" s="4">
        <v>0.14285714285714279</v>
      </c>
      <c r="D91" s="4">
        <v>0.1111111111111111</v>
      </c>
      <c r="E91" s="4">
        <v>4</v>
      </c>
      <c r="F91" s="4">
        <v>1</v>
      </c>
      <c r="G91" s="4">
        <v>0.14285714285714279</v>
      </c>
      <c r="H91" s="4">
        <v>0.5</v>
      </c>
      <c r="I91" s="4">
        <v>6</v>
      </c>
      <c r="L91" s="5">
        <f t="shared" si="124"/>
        <v>0.053120849933598939</v>
      </c>
      <c r="M91" s="5">
        <f t="shared" si="125"/>
        <v>0.020140986908358503</v>
      </c>
      <c r="N91" s="5">
        <f t="shared" si="126"/>
        <v>0.0070528967254408059</v>
      </c>
      <c r="O91" s="5">
        <f t="shared" si="127"/>
        <v>0.252986647926915</v>
      </c>
      <c r="P91" s="5">
        <f t="shared" si="128"/>
        <v>0.029055690072639227</v>
      </c>
      <c r="Q91" s="5">
        <f t="shared" si="129"/>
        <v>0.0053285968028419159</v>
      </c>
      <c r="R91" s="5">
        <f t="shared" si="130"/>
        <v>0.046094750320102434</v>
      </c>
      <c r="S91" s="6">
        <f t="shared" si="131"/>
        <v>0.20000000000000001</v>
      </c>
      <c r="T91" s="5">
        <f t="shared" si="132"/>
        <v>0.076722552336237121</v>
      </c>
      <c r="W91" s="5">
        <f>1/AA87</f>
        <v>0.60478232240365404</v>
      </c>
      <c r="X91" s="5">
        <f>1/AA88</f>
        <v>0.37720705386978187</v>
      </c>
      <c r="Y91" s="5">
        <f>1/AA89</f>
        <v>0.69048229895588054</v>
      </c>
      <c r="Z91" s="5">
        <f>1/AA90</f>
        <v>2.66889737442138</v>
      </c>
      <c r="AA91" s="5">
        <v>1</v>
      </c>
      <c r="AB91" s="5">
        <f>(G91*$T$6)/T92</f>
        <v>0.090453148058498203</v>
      </c>
      <c r="AC91" s="5">
        <f>(H91*$T$6)/T93</f>
        <v>0.26047242543281623</v>
      </c>
      <c r="AD91" s="5">
        <f>(I91*$T$6)/T94</f>
        <v>4.03188454032784</v>
      </c>
      <c r="AG91" s="5">
        <f/>
        <v>1.653487482943595</v>
      </c>
      <c r="AH91" s="5">
        <f/>
        <v>2.651063891146682</v>
      </c>
      <c r="AI91" s="5">
        <f/>
        <v>1.448263049628006</v>
      </c>
      <c r="AJ91" s="5">
        <f/>
        <v>0.37468656891192798</v>
      </c>
      <c r="AK91" s="5">
        <f/>
        <v>1</v>
      </c>
      <c r="AL91" s="5">
        <f/>
        <v>11.055447173085399</v>
      </c>
      <c r="AM91" s="5">
        <f/>
        <v>3.8391779795436749</v>
      </c>
      <c r="AN91" s="5">
        <f/>
        <v>0.248022975359976</v>
      </c>
      <c r="AR91" s="5">
        <f t="shared" si="133"/>
        <v>2.2582698053472492</v>
      </c>
      <c r="AS91" s="5">
        <f t="shared" si="134"/>
        <v>3.0282709450164638</v>
      </c>
      <c r="AT91" s="5">
        <f t="shared" si="135"/>
        <v>2.1387453485838863</v>
      </c>
      <c r="AU91" s="5">
        <f t="shared" si="136"/>
        <v>3.0435839433333078</v>
      </c>
      <c r="AV91" s="5">
        <f t="shared" si="137"/>
        <v>2</v>
      </c>
      <c r="AW91" s="13">
        <f t="shared" si="138"/>
        <v>11.145900321143898</v>
      </c>
      <c r="AX91" s="5">
        <f t="shared" si="139"/>
        <v>4.099650404976491</v>
      </c>
      <c r="AY91" s="5">
        <f t="shared" si="140"/>
        <v>4.2799075156878157</v>
      </c>
    </row>
    <row r="92">
      <c r="B92" s="4">
        <v>0.33333333333333331</v>
      </c>
      <c r="C92" s="4">
        <v>3</v>
      </c>
      <c r="D92" s="4">
        <v>0.14285714285714279</v>
      </c>
      <c r="E92" s="4">
        <v>3</v>
      </c>
      <c r="F92" s="4">
        <v>7</v>
      </c>
      <c r="G92" s="4">
        <v>1</v>
      </c>
      <c r="H92" s="4">
        <v>0.1111111111111111</v>
      </c>
      <c r="I92" s="4">
        <v>0.16666666666666671</v>
      </c>
      <c r="L92" s="5">
        <f t="shared" si="124"/>
        <v>0.017706949977866312</v>
      </c>
      <c r="M92" s="5">
        <f t="shared" si="125"/>
        <v>0.42296072507552873</v>
      </c>
      <c r="N92" s="5">
        <f t="shared" si="126"/>
        <v>0.0090680100755667469</v>
      </c>
      <c r="O92" s="5">
        <f t="shared" si="127"/>
        <v>0.18973998594518623</v>
      </c>
      <c r="P92" s="5">
        <f t="shared" si="128"/>
        <v>0.20338983050847459</v>
      </c>
      <c r="Q92" s="5">
        <f t="shared" si="129"/>
        <v>0.037300177619893425</v>
      </c>
      <c r="R92" s="5">
        <f t="shared" si="130"/>
        <v>0.010243277848911651</v>
      </c>
      <c r="S92" s="6">
        <f t="shared" si="131"/>
        <v>0.0055555555555555575</v>
      </c>
      <c r="T92" s="5">
        <f t="shared" si="132"/>
        <v>0.11199556407587291</v>
      </c>
      <c r="W92" s="5">
        <f>1/AB87</f>
        <v>0.29427652095424567</v>
      </c>
      <c r="X92" s="5">
        <f>1/AB88</f>
        <v>1.6518813107156469</v>
      </c>
      <c r="Y92" s="5">
        <f>1/AB89</f>
        <v>0.14398998581103711</v>
      </c>
      <c r="Z92" s="5">
        <f>1/AB90</f>
        <v>2.9219374663037816</v>
      </c>
      <c r="AA92" s="5">
        <f>1/AB91</f>
        <v>11.05544717308541</v>
      </c>
      <c r="AB92" s="5">
        <v>1</v>
      </c>
      <c r="AC92" s="5">
        <f>(H92*$T$7)/T93</f>
        <v>0.091417115537077057</v>
      </c>
      <c r="AD92" s="5">
        <f>(I92*$T$7)/T94</f>
        <v>0.17688208945862771</v>
      </c>
      <c r="AG92" s="5">
        <f/>
        <v>3.3981644093022321</v>
      </c>
      <c r="AH92" s="5">
        <f/>
        <v>0.60537036984017245</v>
      </c>
      <c r="AI92" s="5">
        <f/>
        <v>6.9449274153852167</v>
      </c>
      <c r="AJ92" s="5">
        <f/>
        <v>0.34223867263832608</v>
      </c>
      <c r="AK92" s="5">
        <f/>
        <v>0.090453148058498245</v>
      </c>
      <c r="AL92" s="5">
        <f/>
        <v>1</v>
      </c>
      <c r="AM92" s="5">
        <f/>
        <v>10.93887062750759</v>
      </c>
      <c r="AN92" s="5">
        <f/>
        <v>5.6534836458605833</v>
      </c>
      <c r="AR92" s="5">
        <f t="shared" si="133"/>
        <v>3.6924409302564776</v>
      </c>
      <c r="AS92" s="5">
        <f t="shared" si="134"/>
        <v>2.2572516805558194</v>
      </c>
      <c r="AT92" s="5">
        <f t="shared" si="135"/>
        <v>7.0889174011962535</v>
      </c>
      <c r="AU92" s="5">
        <f t="shared" si="136"/>
        <v>3.2641761389421076</v>
      </c>
      <c r="AV92" s="13">
        <f t="shared" si="137"/>
        <v>11.145900321143909</v>
      </c>
      <c r="AW92" s="5">
        <f t="shared" si="138"/>
        <v>2</v>
      </c>
      <c r="AX92" s="5">
        <f t="shared" si="139"/>
        <v>11.030287743044667</v>
      </c>
      <c r="AY92" s="5">
        <f t="shared" si="140"/>
        <v>5.8303657353192113</v>
      </c>
    </row>
    <row r="93">
      <c r="B93" s="4">
        <v>9</v>
      </c>
      <c r="C93" s="4">
        <v>0.20000000000000001</v>
      </c>
      <c r="D93" s="4">
        <v>0.5</v>
      </c>
      <c r="E93" s="4">
        <v>0.5</v>
      </c>
      <c r="F93" s="4">
        <v>2</v>
      </c>
      <c r="G93" s="4">
        <v>9</v>
      </c>
      <c r="H93" s="4">
        <v>1</v>
      </c>
      <c r="I93" s="4">
        <v>1</v>
      </c>
      <c r="L93" s="5">
        <f t="shared" si="124"/>
        <v>0.47808764940239046</v>
      </c>
      <c r="M93" s="5">
        <f t="shared" si="125"/>
        <v>0.028197381671701917</v>
      </c>
      <c r="N93" s="5">
        <f t="shared" si="126"/>
        <v>0.031738035264483627</v>
      </c>
      <c r="O93" s="5">
        <f t="shared" si="127"/>
        <v>0.031623330990864375</v>
      </c>
      <c r="P93" s="5">
        <f t="shared" si="128"/>
        <v>0.058111380145278453</v>
      </c>
      <c r="Q93" s="5">
        <f t="shared" si="129"/>
        <v>0.33570159857904086</v>
      </c>
      <c r="R93" s="5">
        <f t="shared" si="130"/>
        <v>0.092189500640204869</v>
      </c>
      <c r="S93" s="6">
        <f t="shared" si="131"/>
        <v>0.033333333333333333</v>
      </c>
      <c r="T93" s="5">
        <f t="shared" si="132"/>
        <v>0.13612277625341226</v>
      </c>
      <c r="W93" s="5">
        <f>1/AC87</f>
        <v>9.6571583742945588</v>
      </c>
      <c r="X93" s="5">
        <f>1/AC88</f>
        <v>0.1338497477771565</v>
      </c>
      <c r="Y93" s="5">
        <f>1/AC89</f>
        <v>0.61253415472806227</v>
      </c>
      <c r="Z93" s="5">
        <f>1/AC90</f>
        <v>0.59190177639934038</v>
      </c>
      <c r="AA93" s="5">
        <f>1/AC91</f>
        <v>3.8391779795436749</v>
      </c>
      <c r="AB93" s="5">
        <f>1/AC92</f>
        <v>10.93887062750759</v>
      </c>
      <c r="AC93" s="5">
        <v>1</v>
      </c>
      <c r="AD93" s="5">
        <f>(I93*T93)/T94</f>
        <v>1.2899268619407678</v>
      </c>
      <c r="AG93" s="5">
        <f/>
        <v>0.1035501294730551</v>
      </c>
      <c r="AH93" s="5">
        <f/>
        <v>7.4710637607242862</v>
      </c>
      <c r="AI93" s="5">
        <f/>
        <v>1.6325620249599879</v>
      </c>
      <c r="AJ93" s="5">
        <f/>
        <v>1.6894695030030229</v>
      </c>
      <c r="AK93" s="5">
        <f/>
        <v>0.26047242543281618</v>
      </c>
      <c r="AL93" s="5">
        <f/>
        <v>0.091417115537077057</v>
      </c>
      <c r="AM93" s="5">
        <f/>
        <v>1</v>
      </c>
      <c r="AN93" s="5">
        <f/>
        <v>0.77523775146091889</v>
      </c>
      <c r="AR93" s="5">
        <f t="shared" si="133"/>
        <v>9.7607085037676136</v>
      </c>
      <c r="AS93" s="5">
        <f t="shared" si="134"/>
        <v>7.6049135085014425</v>
      </c>
      <c r="AT93" s="5">
        <f t="shared" si="135"/>
        <v>2.2450961796880504</v>
      </c>
      <c r="AU93" s="5">
        <f t="shared" si="136"/>
        <v>2.2813712794023635</v>
      </c>
      <c r="AV93" s="5">
        <f t="shared" si="137"/>
        <v>4.099650404976491</v>
      </c>
      <c r="AW93" s="5">
        <f t="shared" si="138"/>
        <v>11.030287743044667</v>
      </c>
      <c r="AX93" s="5">
        <f t="shared" si="139"/>
        <v>2</v>
      </c>
      <c r="AY93" s="5">
        <f t="shared" si="140"/>
        <v>2.0651646134016866</v>
      </c>
    </row>
    <row r="94">
      <c r="B94" s="10">
        <v>0.20000000000000001</v>
      </c>
      <c r="C94" s="10">
        <v>2</v>
      </c>
      <c r="D94" s="10">
        <v>3</v>
      </c>
      <c r="E94" s="10">
        <v>0.1111111111111111</v>
      </c>
      <c r="F94" s="10">
        <v>0.16666666666666671</v>
      </c>
      <c r="G94" s="10">
        <v>6</v>
      </c>
      <c r="H94" s="10">
        <v>1</v>
      </c>
      <c r="I94" s="10">
        <v>1</v>
      </c>
      <c r="L94" s="5">
        <f t="shared" si="124"/>
        <v>0.010624169986719788</v>
      </c>
      <c r="M94" s="5">
        <f t="shared" si="125"/>
        <v>0.28197381671701915</v>
      </c>
      <c r="N94" s="5">
        <f t="shared" si="126"/>
        <v>0.19042821158690176</v>
      </c>
      <c r="O94" s="5">
        <f t="shared" si="127"/>
        <v>0.0070274068868587496</v>
      </c>
      <c r="P94" s="5">
        <f t="shared" si="128"/>
        <v>0.0048426150121065395</v>
      </c>
      <c r="Q94" s="5">
        <f t="shared" si="129"/>
        <v>0.22380106571936056</v>
      </c>
      <c r="R94" s="5">
        <f t="shared" si="130"/>
        <v>0.092189500640204869</v>
      </c>
      <c r="S94" s="6">
        <f t="shared" si="131"/>
        <v>0.033333333333333333</v>
      </c>
      <c r="T94" s="5">
        <f t="shared" si="132"/>
        <v>0.10552751498531308</v>
      </c>
      <c r="W94" s="5">
        <f>1/AD87</f>
        <v>0.16636874985755767</v>
      </c>
      <c r="X94" s="5">
        <f>1/AD88</f>
        <v>1.0376537750037393</v>
      </c>
      <c r="Y94" s="5">
        <f>1/AD89</f>
        <v>2.8491576048263854</v>
      </c>
      <c r="Z94" s="5">
        <f>1/AD90</f>
        <v>0.10196991160478849</v>
      </c>
      <c r="AA94" s="5">
        <f>1/AD91</f>
        <v>0.248022975359976</v>
      </c>
      <c r="AB94" s="5">
        <f>1/AD92</f>
        <v>5.6534836458605806</v>
      </c>
      <c r="AC94" s="5">
        <f>1/AD93</f>
        <v>0.77523775146091889</v>
      </c>
      <c r="AD94" s="5">
        <v>1</v>
      </c>
      <c r="AG94" s="5">
        <f/>
        <v>6.01074421041322</v>
      </c>
      <c r="AH94" s="5">
        <f/>
        <v>0.96371258322304698</v>
      </c>
      <c r="AI94" s="5">
        <f/>
        <v>0.35098093496338378</v>
      </c>
      <c r="AJ94" s="5">
        <f/>
        <v>9.8068144245899305</v>
      </c>
      <c r="AK94" s="5">
        <f/>
        <v>4.03188454032784</v>
      </c>
      <c r="AL94" s="5">
        <f/>
        <v>0.1768820894586276</v>
      </c>
      <c r="AM94" s="5">
        <f/>
        <v>1.289926861940768</v>
      </c>
      <c r="AN94" s="5">
        <f/>
        <v>1</v>
      </c>
      <c r="AR94" s="5">
        <f t="shared" si="133"/>
        <v>6.1771129602707777</v>
      </c>
      <c r="AS94" s="5">
        <f t="shared" si="134"/>
        <v>2.0013663582267864</v>
      </c>
      <c r="AT94" s="5">
        <f t="shared" si="135"/>
        <v>3.2001385397897693</v>
      </c>
      <c r="AU94" s="5">
        <f t="shared" si="136"/>
        <v>9.908784336194719</v>
      </c>
      <c r="AV94" s="5">
        <f t="shared" si="137"/>
        <v>4.2799075156878157</v>
      </c>
      <c r="AW94" s="5">
        <f t="shared" si="138"/>
        <v>5.8303657353192087</v>
      </c>
      <c r="AX94" s="5">
        <f t="shared" si="139"/>
        <v>2.065164613401687</v>
      </c>
      <c r="AY94" s="5">
        <f t="shared" si="140"/>
        <v>2</v>
      </c>
    </row>
    <row r="95">
      <c r="A95" s="2" t="s">
        <v>6</v>
      </c>
      <c r="B95" s="11">
        <f>SUM(B87:B94)</f>
        <v>19.699999999999999</v>
      </c>
      <c r="C95" s="11">
        <f>SUM(C87:C94)</f>
        <v>7.0928571428571425</v>
      </c>
      <c r="D95" s="11">
        <f>SUM(D87:D94)</f>
        <v>15.753968253968253</v>
      </c>
      <c r="E95" s="11">
        <f>SUM(E87:E94)</f>
        <v>15.81111111111111</v>
      </c>
      <c r="F95" s="11">
        <f>SUM(F87:F94)</f>
        <v>13.416666666666666</v>
      </c>
      <c r="G95" s="11">
        <f>SUM(G87:G94)</f>
        <v>26.80952380952381</v>
      </c>
      <c r="H95" s="11">
        <f>SUM(H87:H94)</f>
        <v>11.722222222222221</v>
      </c>
      <c r="I95" s="11">
        <f>SUM(I87:I94)</f>
        <v>23</v>
      </c>
    </row>
    <row r="97">
      <c r="B97" s="2" t="s">
        <v>7</v>
      </c>
      <c r="C97" s="2">
        <f>B95*T87+C95*T88+D95*T89+E95*T90+F95*T91+G95*T92+H95*T93+I95*T94</f>
        <v>14.451922016702358</v>
      </c>
    </row>
    <row r="98">
      <c r="B98" s="2" t="s">
        <v>8</v>
      </c>
      <c r="C98" s="2">
        <f>(C97-8)/7</f>
        <v>0.92170314524319408</v>
      </c>
    </row>
    <row r="99">
      <c r="B99" s="2" t="s">
        <v>9</v>
      </c>
      <c r="C99" s="2">
        <f>C98/1.41</f>
        <v>0.65369017393134332</v>
      </c>
    </row>
    <row r="102">
      <c r="A102" s="2" t="s">
        <v>23</v>
      </c>
    </row>
    <row r="103">
      <c r="T103" s="12" t="s">
        <v>3</v>
      </c>
    </row>
    <row r="104">
      <c r="B104" s="4">
        <v>1</v>
      </c>
      <c r="C104" s="4">
        <v>0.33333333333333331</v>
      </c>
      <c r="D104" s="4">
        <v>6</v>
      </c>
      <c r="E104" s="4">
        <v>0.20000000000000001</v>
      </c>
      <c r="F104" s="4">
        <v>1</v>
      </c>
      <c r="G104" s="4">
        <v>3</v>
      </c>
      <c r="H104" s="4">
        <v>0.1111111111111111</v>
      </c>
      <c r="I104" s="4">
        <v>5</v>
      </c>
      <c r="L104" s="5">
        <f t="shared" ref="L104:L167" si="141">B104/$B$10</f>
        <v>0.053120849933598939</v>
      </c>
      <c r="M104" s="5">
        <f t="shared" ref="M104:M167" si="142">C104/$C$10</f>
        <v>0.046995636119503185</v>
      </c>
      <c r="N104" s="5">
        <f t="shared" ref="N104:N167" si="143">D104/$D$10</f>
        <v>0.38085642317380353</v>
      </c>
      <c r="O104" s="5">
        <f t="shared" ref="O104:O167" si="144">E104/$E$10</f>
        <v>0.012649332396345751</v>
      </c>
      <c r="P104" s="5">
        <f t="shared" ref="P104:P167" si="145">F104/$F$10</f>
        <v>0.029055690072639227</v>
      </c>
      <c r="Q104" s="5">
        <f t="shared" ref="Q104:Q167" si="146">G104/$G$10</f>
        <v>0.11190053285968028</v>
      </c>
      <c r="R104" s="5">
        <f t="shared" ref="R104:R167" si="147">H104/$H$10</f>
        <v>0.010243277848911651</v>
      </c>
      <c r="S104" s="6">
        <f t="shared" ref="S104:S167" si="148">I104/$I$10</f>
        <v>0.16666666666666666</v>
      </c>
      <c r="T104" s="5">
        <f t="shared" ref="T104:T167" si="149">AVERAGE(L104:S104)</f>
        <v>0.10143605113389365</v>
      </c>
      <c r="W104" s="5">
        <v>1</v>
      </c>
      <c r="X104" s="5">
        <f>(C104*$T$2)/T105</f>
        <v>0.23284976549932898</v>
      </c>
      <c r="Y104" s="5">
        <f>(D104*$T$2)/T106</f>
        <v>9.2757774450484671</v>
      </c>
      <c r="Z104" s="5">
        <f>(E104*$T$2)/T107</f>
        <v>0.2206494200933389</v>
      </c>
      <c r="AA104" s="5">
        <f>(F104*$T$2)/T108</f>
        <v>1.571622295176035</v>
      </c>
      <c r="AB104" s="5">
        <f>(G104*$T$2)/T109</f>
        <v>4.2191055644991344</v>
      </c>
      <c r="AC104" s="5">
        <f>(H104*$T$2)/T110</f>
        <v>0.10355012947305511</v>
      </c>
      <c r="AD104" s="5">
        <f>(I104*$T$2)/T111</f>
        <v>6.01074421041322</v>
      </c>
      <c r="AG104" s="5">
        <f t="array" ref="AG104:AN111">TRANSPOSE(W104:AD111)</f>
        <v>1</v>
      </c>
      <c r="AH104" s="5">
        <f/>
        <v>4.2946145891775949</v>
      </c>
      <c r="AI104" s="5">
        <f/>
        <v>0.10780767498187591</v>
      </c>
      <c r="AJ104" s="5">
        <f/>
        <v>4.5320762664002512</v>
      </c>
      <c r="AK104" s="5">
        <f/>
        <v>0.63628519592106669</v>
      </c>
      <c r="AL104" s="5">
        <f/>
        <v>0.23701706077570339</v>
      </c>
      <c r="AM104" s="5">
        <f/>
        <v>9.6571583742945588</v>
      </c>
      <c r="AN104" s="5">
        <f/>
        <v>0.1663687498575577</v>
      </c>
      <c r="AR104" s="5">
        <f t="shared" ref="AR104:AR167" si="150">W104+AG104</f>
        <v>2</v>
      </c>
      <c r="AS104" s="5">
        <f t="shared" ref="AS104:AS167" si="151">X104+AH104</f>
        <v>4.5274643546769235</v>
      </c>
      <c r="AT104" s="5">
        <f t="shared" ref="AT104:AT167" si="152">Y104+AI104</f>
        <v>9.3835851200303431</v>
      </c>
      <c r="AU104" s="5">
        <f t="shared" ref="AU104:AU167" si="153">Z104+AJ104</f>
        <v>4.7527256864935898</v>
      </c>
      <c r="AV104" s="5">
        <f t="shared" ref="AV104:AV167" si="154">AA104+AK104</f>
        <v>2.2079074910971017</v>
      </c>
      <c r="AW104" s="5">
        <f t="shared" ref="AW104:AW167" si="155">AB104+AL104</f>
        <v>4.4561226252748378</v>
      </c>
      <c r="AX104" s="5">
        <f t="shared" ref="AX104:AX167" si="156">AC104+AM104</f>
        <v>9.7607085037676136</v>
      </c>
      <c r="AY104" s="5">
        <f t="shared" ref="AY104:AY167" si="157">AD104+AN104</f>
        <v>6.1771129602707777</v>
      </c>
    </row>
    <row r="105">
      <c r="B105" s="4">
        <v>3</v>
      </c>
      <c r="C105" s="4">
        <v>1</v>
      </c>
      <c r="D105" s="4">
        <v>4</v>
      </c>
      <c r="E105" s="4">
        <v>6</v>
      </c>
      <c r="F105" s="4">
        <v>1</v>
      </c>
      <c r="G105" s="4">
        <v>0.33333333333333331</v>
      </c>
      <c r="H105" s="4">
        <v>5</v>
      </c>
      <c r="I105" s="4">
        <v>0.5</v>
      </c>
      <c r="L105" s="5">
        <f t="shared" si="141"/>
        <v>0.15936254980079681</v>
      </c>
      <c r="M105" s="5">
        <f t="shared" si="142"/>
        <v>0.14098690835850958</v>
      </c>
      <c r="N105" s="5">
        <f t="shared" si="143"/>
        <v>0.25390428211586902</v>
      </c>
      <c r="O105" s="5">
        <f t="shared" si="144"/>
        <v>0.37947997189037247</v>
      </c>
      <c r="P105" s="5">
        <f t="shared" si="145"/>
        <v>0.029055690072639227</v>
      </c>
      <c r="Q105" s="5">
        <f t="shared" si="146"/>
        <v>0.012433392539964476</v>
      </c>
      <c r="R105" s="5">
        <f t="shared" si="147"/>
        <v>0.46094750320102434</v>
      </c>
      <c r="S105" s="6">
        <f t="shared" si="148"/>
        <v>0.016666666666666666</v>
      </c>
      <c r="T105" s="5">
        <f t="shared" si="149"/>
        <v>0.18160462058073029</v>
      </c>
      <c r="W105" s="5">
        <f>1/X104</f>
        <v>4.2946145891775949</v>
      </c>
      <c r="X105" s="5">
        <v>1</v>
      </c>
      <c r="Y105" s="5">
        <f>(D105*$T$3)/T106</f>
        <v>9.9146718276950185</v>
      </c>
      <c r="Z105" s="5">
        <f>(E105*$T$3)/T107</f>
        <v>10.613126187757059</v>
      </c>
      <c r="AA105" s="5">
        <f>(F105*$T$3)/T108</f>
        <v>2.5198080785256161</v>
      </c>
      <c r="AB105" s="5">
        <f>(G105*$T$3)/T109</f>
        <v>0.75161798793014423</v>
      </c>
      <c r="AC105" s="5">
        <f>(H105*$T$3)/T110</f>
        <v>7.4710637607242862</v>
      </c>
      <c r="AD105" s="5">
        <f>(I105*$T$3)/T111</f>
        <v>0.96371258322304698</v>
      </c>
      <c r="AG105" s="5">
        <f/>
        <v>0.23284976549932901</v>
      </c>
      <c r="AH105" s="5">
        <f/>
        <v>1</v>
      </c>
      <c r="AI105" s="5">
        <f/>
        <v>0.1008606252812789</v>
      </c>
      <c r="AJ105" s="5">
        <f/>
        <v>0.094222944522563579</v>
      </c>
      <c r="AK105" s="5">
        <f/>
        <v>0.39685562107774403</v>
      </c>
      <c r="AL105" s="5">
        <f/>
        <v>1.330463102345204</v>
      </c>
      <c r="AM105" s="5">
        <f/>
        <v>0.1338497477771565</v>
      </c>
      <c r="AN105" s="5">
        <f/>
        <v>1.0376537750037389</v>
      </c>
      <c r="AR105" s="5">
        <f t="shared" si="150"/>
        <v>4.5274643546769235</v>
      </c>
      <c r="AS105" s="5">
        <f t="shared" si="151"/>
        <v>2</v>
      </c>
      <c r="AT105" s="5">
        <f t="shared" si="152"/>
        <v>10.015532452976297</v>
      </c>
      <c r="AU105" s="5">
        <f t="shared" si="153"/>
        <v>10.707349132279623</v>
      </c>
      <c r="AV105" s="5">
        <f t="shared" si="154"/>
        <v>2.9166636996033599</v>
      </c>
      <c r="AW105" s="5">
        <f t="shared" si="155"/>
        <v>2.0820810902753482</v>
      </c>
      <c r="AX105" s="5">
        <f t="shared" si="156"/>
        <v>7.6049135085014425</v>
      </c>
      <c r="AY105" s="5">
        <f t="shared" si="157"/>
        <v>2.001366358226786</v>
      </c>
    </row>
    <row r="106">
      <c r="B106" s="4">
        <v>0.16666666666666671</v>
      </c>
      <c r="C106" s="4">
        <v>0.25</v>
      </c>
      <c r="D106" s="4">
        <v>1</v>
      </c>
      <c r="E106" s="4">
        <v>1</v>
      </c>
      <c r="F106" s="4">
        <v>1</v>
      </c>
      <c r="G106" s="4">
        <v>7</v>
      </c>
      <c r="H106" s="4">
        <v>2</v>
      </c>
      <c r="I106" s="4">
        <v>0.33333333333333331</v>
      </c>
      <c r="L106" s="5">
        <f t="shared" si="141"/>
        <v>0.0088534749889331594</v>
      </c>
      <c r="M106" s="5">
        <f t="shared" si="142"/>
        <v>0.035246727089627394</v>
      </c>
      <c r="N106" s="5">
        <f t="shared" si="143"/>
        <v>0.063476070528967254</v>
      </c>
      <c r="O106" s="5">
        <f t="shared" si="144"/>
        <v>0.06324666198172875</v>
      </c>
      <c r="P106" s="5">
        <f t="shared" si="145"/>
        <v>0.029055690072639227</v>
      </c>
      <c r="Q106" s="5">
        <f t="shared" si="146"/>
        <v>0.261101243339254</v>
      </c>
      <c r="R106" s="5">
        <f t="shared" si="147"/>
        <v>0.18437900128040974</v>
      </c>
      <c r="S106" s="6">
        <f t="shared" si="148"/>
        <v>0.01111111111111111</v>
      </c>
      <c r="T106" s="5">
        <f t="shared" si="149"/>
        <v>0.082058747549083821</v>
      </c>
      <c r="W106" s="5">
        <f>1/Y104</f>
        <v>0.10780767498187586</v>
      </c>
      <c r="X106" s="5">
        <f>1/Y105</f>
        <v>0.10086062528127891</v>
      </c>
      <c r="Y106" s="5">
        <v>1</v>
      </c>
      <c r="Z106" s="5">
        <f>(E106*$T$4)/T107</f>
        <v>0.96631636265592136</v>
      </c>
      <c r="AA106" s="5">
        <f>(F106*$T$4)/T108</f>
        <v>1.3765586504610114</v>
      </c>
      <c r="AB106" s="5">
        <f>(G106*$T$4)/T109</f>
        <v>8.6227087256531565</v>
      </c>
      <c r="AC106" s="5">
        <f>(H106*$T$4)/T110</f>
        <v>1.6325620249599881</v>
      </c>
      <c r="AD106" s="5">
        <f>(I106*$T$4)/T111</f>
        <v>0.35098093496338384</v>
      </c>
      <c r="AG106" s="5">
        <f/>
        <v>9.2757774450484671</v>
      </c>
      <c r="AH106" s="5">
        <f/>
        <v>9.9146718276950185</v>
      </c>
      <c r="AI106" s="5">
        <f/>
        <v>1</v>
      </c>
      <c r="AJ106" s="5">
        <f/>
        <v>1.034857773960796</v>
      </c>
      <c r="AK106" s="5">
        <f/>
        <v>0.72644925057504717</v>
      </c>
      <c r="AL106" s="5">
        <f/>
        <v>0.1159728377493409</v>
      </c>
      <c r="AM106" s="5">
        <f/>
        <v>0.61253415472806227</v>
      </c>
      <c r="AN106" s="5">
        <f/>
        <v>2.8491576048263849</v>
      </c>
      <c r="AR106" s="5">
        <f t="shared" si="150"/>
        <v>9.3835851200303431</v>
      </c>
      <c r="AS106" s="5">
        <f t="shared" si="151"/>
        <v>10.015532452976297</v>
      </c>
      <c r="AT106" s="5">
        <f t="shared" si="152"/>
        <v>2</v>
      </c>
      <c r="AU106" s="5">
        <f t="shared" si="153"/>
        <v>2.0011741366167173</v>
      </c>
      <c r="AV106" s="5">
        <f t="shared" si="154"/>
        <v>2.1030079010360585</v>
      </c>
      <c r="AW106" s="5">
        <f t="shared" si="155"/>
        <v>8.7386815634024977</v>
      </c>
      <c r="AX106" s="5">
        <f t="shared" si="156"/>
        <v>2.2450961796880504</v>
      </c>
      <c r="AY106" s="5">
        <f t="shared" si="157"/>
        <v>3.2001385397897688</v>
      </c>
    </row>
    <row r="107" ht="18.75" customHeight="1">
      <c r="B107" s="4">
        <v>5</v>
      </c>
      <c r="C107" s="4">
        <v>0.16666666666666671</v>
      </c>
      <c r="D107" s="4">
        <v>1</v>
      </c>
      <c r="E107" s="4">
        <v>1</v>
      </c>
      <c r="F107" s="4">
        <v>0.25</v>
      </c>
      <c r="G107" s="4">
        <v>0.33333333333333331</v>
      </c>
      <c r="H107" s="4">
        <v>2</v>
      </c>
      <c r="I107" s="4">
        <v>9</v>
      </c>
      <c r="L107" s="5">
        <f t="shared" si="141"/>
        <v>0.26560424966799467</v>
      </c>
      <c r="M107" s="5">
        <f t="shared" si="142"/>
        <v>0.023497818059751603</v>
      </c>
      <c r="N107" s="5">
        <f t="shared" si="143"/>
        <v>0.063476070528967254</v>
      </c>
      <c r="O107" s="5">
        <f t="shared" si="144"/>
        <v>0.06324666198172875</v>
      </c>
      <c r="P107" s="5">
        <f t="shared" si="145"/>
        <v>0.0072639225181598066</v>
      </c>
      <c r="Q107" s="5">
        <f t="shared" si="146"/>
        <v>0.012433392539964476</v>
      </c>
      <c r="R107" s="5">
        <f t="shared" si="147"/>
        <v>0.18437900128040974</v>
      </c>
      <c r="S107" s="6">
        <f t="shared" si="148"/>
        <v>0.29999999999999999</v>
      </c>
      <c r="T107" s="5">
        <f t="shared" si="149"/>
        <v>0.11498763957212205</v>
      </c>
      <c r="W107" s="5">
        <f>1/Z104</f>
        <v>4.5320762664002512</v>
      </c>
      <c r="X107" s="5">
        <f>1/Z105</f>
        <v>0.094222944522563579</v>
      </c>
      <c r="Y107" s="5">
        <f>1/Z106</f>
        <v>1.034857773960796</v>
      </c>
      <c r="Z107" s="5">
        <v>1</v>
      </c>
      <c r="AA107" s="5">
        <f>(F107*$T$5)/T108</f>
        <v>0.35613560518563997</v>
      </c>
      <c r="AB107" s="5">
        <f>(G107*$T$5)/T109</f>
        <v>0.42491795987341696</v>
      </c>
      <c r="AC107" s="5">
        <f>(H107*$T$5)/T110</f>
        <v>1.6894695030030229</v>
      </c>
      <c r="AD107" s="5">
        <f>(I107*$T$5)/T111</f>
        <v>9.8068144245899305</v>
      </c>
      <c r="AF107" s="2" t="s">
        <v>4</v>
      </c>
      <c r="AG107" s="5">
        <f/>
        <v>0.2206494200933389</v>
      </c>
      <c r="AH107" s="5">
        <f/>
        <v>10.613126187757061</v>
      </c>
      <c r="AI107" s="5">
        <f/>
        <v>0.96631636265592136</v>
      </c>
      <c r="AJ107" s="5">
        <f/>
        <v>1</v>
      </c>
      <c r="AK107" s="5">
        <f/>
        <v>2.8079191898791982</v>
      </c>
      <c r="AL107" s="5">
        <f/>
        <v>2.3533954655573979</v>
      </c>
      <c r="AM107" s="5">
        <f/>
        <v>0.59190177639934038</v>
      </c>
      <c r="AN107" s="5">
        <f/>
        <v>0.10196991160478849</v>
      </c>
      <c r="AP107" s="8" t="s">
        <v>5</v>
      </c>
      <c r="AR107" s="5">
        <f t="shared" si="150"/>
        <v>4.7527256864935898</v>
      </c>
      <c r="AS107" s="5">
        <f t="shared" si="151"/>
        <v>10.707349132279624</v>
      </c>
      <c r="AT107" s="5">
        <f t="shared" si="152"/>
        <v>2.0011741366167173</v>
      </c>
      <c r="AU107" s="5">
        <f t="shared" si="153"/>
        <v>2</v>
      </c>
      <c r="AV107" s="5">
        <f t="shared" si="154"/>
        <v>3.1640547950648381</v>
      </c>
      <c r="AW107" s="5">
        <f t="shared" si="155"/>
        <v>2.7783134254308148</v>
      </c>
      <c r="AX107" s="5">
        <f t="shared" si="156"/>
        <v>2.2813712794023635</v>
      </c>
      <c r="AY107" s="5">
        <f t="shared" si="157"/>
        <v>9.908784336194719</v>
      </c>
    </row>
    <row r="108">
      <c r="B108" s="4">
        <v>1</v>
      </c>
      <c r="C108" s="4">
        <v>0.14285714285714279</v>
      </c>
      <c r="D108" s="4">
        <v>0.1111111111111111</v>
      </c>
      <c r="E108" s="4">
        <v>4</v>
      </c>
      <c r="F108" s="4">
        <v>1</v>
      </c>
      <c r="G108" s="4">
        <v>1</v>
      </c>
      <c r="H108" s="4">
        <v>0.5</v>
      </c>
      <c r="I108" s="4">
        <v>6</v>
      </c>
      <c r="L108" s="5">
        <f t="shared" si="141"/>
        <v>0.053120849933598939</v>
      </c>
      <c r="M108" s="5">
        <f t="shared" si="142"/>
        <v>0.020140986908358503</v>
      </c>
      <c r="N108" s="5">
        <f t="shared" si="143"/>
        <v>0.0070528967254408059</v>
      </c>
      <c r="O108" s="5">
        <f t="shared" si="144"/>
        <v>0.252986647926915</v>
      </c>
      <c r="P108" s="5">
        <f t="shared" si="145"/>
        <v>0.029055690072639227</v>
      </c>
      <c r="Q108" s="5">
        <f t="shared" si="146"/>
        <v>0.037300177619893425</v>
      </c>
      <c r="R108" s="5">
        <f t="shared" si="147"/>
        <v>0.046094750320102434</v>
      </c>
      <c r="S108" s="6">
        <f t="shared" si="148"/>
        <v>0.20000000000000001</v>
      </c>
      <c r="T108" s="5">
        <f t="shared" si="149"/>
        <v>0.080718999938368535</v>
      </c>
      <c r="W108" s="5">
        <f>1/AA104</f>
        <v>0.63628519592106669</v>
      </c>
      <c r="X108" s="5">
        <f>1/AA105</f>
        <v>0.39685562107774397</v>
      </c>
      <c r="Y108" s="5">
        <f>1/AA106</f>
        <v>0.72644925057504717</v>
      </c>
      <c r="Z108" s="5">
        <f>1/AA107</f>
        <v>2.8079191898791978</v>
      </c>
      <c r="AA108" s="5">
        <v>1</v>
      </c>
      <c r="AB108" s="5">
        <f>(G108*$T$6)/T109</f>
        <v>0.78613608417170688</v>
      </c>
      <c r="AC108" s="5">
        <f>(H108*$T$6)/T110</f>
        <v>0.26047242543281623</v>
      </c>
      <c r="AD108" s="5">
        <f>(I108*$T$6)/T111</f>
        <v>4.03188454032784</v>
      </c>
      <c r="AG108" s="5">
        <f/>
        <v>1.571622295176035</v>
      </c>
      <c r="AH108" s="5">
        <f/>
        <v>2.5198080785256161</v>
      </c>
      <c r="AI108" s="5">
        <f/>
        <v>1.376558650461011</v>
      </c>
      <c r="AJ108" s="5">
        <f/>
        <v>0.35613560518564003</v>
      </c>
      <c r="AK108" s="5">
        <f/>
        <v>1</v>
      </c>
      <c r="AL108" s="5">
        <f/>
        <v>1.2720443955369709</v>
      </c>
      <c r="AM108" s="5">
        <f/>
        <v>3.8391779795436749</v>
      </c>
      <c r="AN108" s="5">
        <f/>
        <v>0.248022975359976</v>
      </c>
      <c r="AR108" s="5">
        <f t="shared" si="150"/>
        <v>2.2079074910971017</v>
      </c>
      <c r="AS108" s="5">
        <f t="shared" si="151"/>
        <v>2.9166636996033599</v>
      </c>
      <c r="AT108" s="5">
        <f t="shared" si="152"/>
        <v>2.1030079010360581</v>
      </c>
      <c r="AU108" s="5">
        <f t="shared" si="153"/>
        <v>3.1640547950648377</v>
      </c>
      <c r="AV108" s="5">
        <f t="shared" si="154"/>
        <v>2</v>
      </c>
      <c r="AW108" s="5">
        <f t="shared" si="155"/>
        <v>2.0581804797086778</v>
      </c>
      <c r="AX108" s="5">
        <f t="shared" si="156"/>
        <v>4.099650404976491</v>
      </c>
      <c r="AY108" s="5">
        <f t="shared" si="157"/>
        <v>4.2799075156878157</v>
      </c>
    </row>
    <row r="109">
      <c r="B109" s="4">
        <v>0.33333333333333331</v>
      </c>
      <c r="C109" s="4">
        <v>3</v>
      </c>
      <c r="D109" s="4">
        <v>0.14285714285714279</v>
      </c>
      <c r="E109" s="4">
        <v>3</v>
      </c>
      <c r="F109" s="4">
        <v>1</v>
      </c>
      <c r="G109" s="4">
        <v>1</v>
      </c>
      <c r="H109" s="4">
        <v>0.1111111111111111</v>
      </c>
      <c r="I109" s="4">
        <v>0.16666666666666671</v>
      </c>
      <c r="L109" s="5">
        <f t="shared" si="141"/>
        <v>0.017706949977866312</v>
      </c>
      <c r="M109" s="5">
        <f t="shared" si="142"/>
        <v>0.42296072507552873</v>
      </c>
      <c r="N109" s="5">
        <f t="shared" si="143"/>
        <v>0.0090680100755667469</v>
      </c>
      <c r="O109" s="5">
        <f t="shared" si="144"/>
        <v>0.18973998594518623</v>
      </c>
      <c r="P109" s="5">
        <f t="shared" si="145"/>
        <v>0.029055690072639227</v>
      </c>
      <c r="Q109" s="5">
        <f t="shared" si="146"/>
        <v>0.037300177619893425</v>
      </c>
      <c r="R109" s="5">
        <f t="shared" si="147"/>
        <v>0.010243277848911651</v>
      </c>
      <c r="S109" s="6">
        <f t="shared" si="148"/>
        <v>0.0055555555555555575</v>
      </c>
      <c r="T109" s="5">
        <f t="shared" si="149"/>
        <v>0.090203796521393487</v>
      </c>
      <c r="W109" s="5">
        <f>1/AB104</f>
        <v>0.23701706077570345</v>
      </c>
      <c r="X109" s="5">
        <f>1/AB105</f>
        <v>1.3304631023452043</v>
      </c>
      <c r="Y109" s="5">
        <f>1/AB106</f>
        <v>0.11597283774934095</v>
      </c>
      <c r="Z109" s="5">
        <f>1/AB107</f>
        <v>2.3533954655573983</v>
      </c>
      <c r="AA109" s="5">
        <f>1/AB108</f>
        <v>1.2720443955369707</v>
      </c>
      <c r="AB109" s="5">
        <v>1</v>
      </c>
      <c r="AC109" s="5">
        <f>(H109*$T$7)/T110</f>
        <v>0.091417115537077057</v>
      </c>
      <c r="AD109" s="5">
        <f>(I109*$T$7)/T111</f>
        <v>0.17688208945862771</v>
      </c>
      <c r="AG109" s="5">
        <f/>
        <v>4.2191055644991344</v>
      </c>
      <c r="AH109" s="5">
        <f/>
        <v>0.75161798793014423</v>
      </c>
      <c r="AI109" s="5">
        <f/>
        <v>8.6227087256531565</v>
      </c>
      <c r="AJ109" s="5">
        <f/>
        <v>0.42491795987341702</v>
      </c>
      <c r="AK109" s="5">
        <f/>
        <v>0.78613608417170688</v>
      </c>
      <c r="AL109" s="5">
        <f/>
        <v>1</v>
      </c>
      <c r="AM109" s="5">
        <f/>
        <v>10.93887062750759</v>
      </c>
      <c r="AN109" s="5">
        <f/>
        <v>5.6534836458605833</v>
      </c>
      <c r="AR109" s="5">
        <f t="shared" si="150"/>
        <v>4.4561226252748378</v>
      </c>
      <c r="AS109" s="5">
        <f t="shared" si="151"/>
        <v>2.0820810902753486</v>
      </c>
      <c r="AT109" s="5">
        <f t="shared" si="152"/>
        <v>8.7386815634024977</v>
      </c>
      <c r="AU109" s="5">
        <f t="shared" si="153"/>
        <v>2.7783134254308153</v>
      </c>
      <c r="AV109" s="5">
        <f t="shared" si="154"/>
        <v>2.0581804797086773</v>
      </c>
      <c r="AW109" s="5">
        <f t="shared" si="155"/>
        <v>2</v>
      </c>
      <c r="AX109" s="13">
        <f t="shared" si="156"/>
        <v>11.030287743044667</v>
      </c>
      <c r="AY109" s="5">
        <f t="shared" si="157"/>
        <v>5.8303657353192113</v>
      </c>
    </row>
    <row r="110">
      <c r="B110" s="4">
        <v>9</v>
      </c>
      <c r="C110" s="4">
        <v>0.20000000000000001</v>
      </c>
      <c r="D110" s="4">
        <v>0.5</v>
      </c>
      <c r="E110" s="4">
        <v>0.5</v>
      </c>
      <c r="F110" s="4">
        <v>2</v>
      </c>
      <c r="G110" s="4">
        <v>9</v>
      </c>
      <c r="H110" s="4">
        <v>1</v>
      </c>
      <c r="I110" s="4">
        <v>1</v>
      </c>
      <c r="L110" s="5">
        <f t="shared" si="141"/>
        <v>0.47808764940239046</v>
      </c>
      <c r="M110" s="5">
        <f t="shared" si="142"/>
        <v>0.028197381671701917</v>
      </c>
      <c r="N110" s="5">
        <f t="shared" si="143"/>
        <v>0.031738035264483627</v>
      </c>
      <c r="O110" s="5">
        <f t="shared" si="144"/>
        <v>0.031623330990864375</v>
      </c>
      <c r="P110" s="5">
        <f t="shared" si="145"/>
        <v>0.058111380145278453</v>
      </c>
      <c r="Q110" s="5">
        <f t="shared" si="146"/>
        <v>0.33570159857904086</v>
      </c>
      <c r="R110" s="5">
        <f t="shared" si="147"/>
        <v>0.092189500640204869</v>
      </c>
      <c r="S110" s="6">
        <f t="shared" si="148"/>
        <v>0.033333333333333333</v>
      </c>
      <c r="T110" s="5">
        <f t="shared" si="149"/>
        <v>0.13612277625341226</v>
      </c>
      <c r="W110" s="5">
        <f>1/AC104</f>
        <v>9.6571583742945588</v>
      </c>
      <c r="X110" s="5">
        <f>1/AC105</f>
        <v>0.1338497477771565</v>
      </c>
      <c r="Y110" s="5">
        <f>1/AC106</f>
        <v>0.61253415472806227</v>
      </c>
      <c r="Z110" s="5">
        <f>1/AC107</f>
        <v>0.59190177639934038</v>
      </c>
      <c r="AA110" s="5">
        <f>1/AC108</f>
        <v>3.8391779795436749</v>
      </c>
      <c r="AB110" s="5">
        <f>1/AC109</f>
        <v>10.93887062750759</v>
      </c>
      <c r="AC110" s="5">
        <v>1</v>
      </c>
      <c r="AD110" s="5">
        <f>(I110*T110)/T111</f>
        <v>1.2899268619407678</v>
      </c>
      <c r="AG110" s="5">
        <f/>
        <v>0.1035501294730551</v>
      </c>
      <c r="AH110" s="5">
        <f/>
        <v>7.4710637607242862</v>
      </c>
      <c r="AI110" s="5">
        <f/>
        <v>1.6325620249599879</v>
      </c>
      <c r="AJ110" s="5">
        <f/>
        <v>1.6894695030030229</v>
      </c>
      <c r="AK110" s="5">
        <f/>
        <v>0.26047242543281618</v>
      </c>
      <c r="AL110" s="5">
        <f/>
        <v>0.091417115537077057</v>
      </c>
      <c r="AM110" s="5">
        <f/>
        <v>1</v>
      </c>
      <c r="AN110" s="5">
        <f/>
        <v>0.77523775146091889</v>
      </c>
      <c r="AR110" s="5">
        <f t="shared" si="150"/>
        <v>9.7607085037676136</v>
      </c>
      <c r="AS110" s="5">
        <f t="shared" si="151"/>
        <v>7.6049135085014425</v>
      </c>
      <c r="AT110" s="5">
        <f t="shared" si="152"/>
        <v>2.2450961796880504</v>
      </c>
      <c r="AU110" s="5">
        <f t="shared" si="153"/>
        <v>2.2813712794023635</v>
      </c>
      <c r="AV110" s="5">
        <f t="shared" si="154"/>
        <v>4.099650404976491</v>
      </c>
      <c r="AW110" s="13">
        <f t="shared" si="155"/>
        <v>11.030287743044667</v>
      </c>
      <c r="AX110" s="5">
        <f t="shared" si="156"/>
        <v>2</v>
      </c>
      <c r="AY110" s="5">
        <f t="shared" si="157"/>
        <v>2.0651646134016866</v>
      </c>
    </row>
    <row r="111">
      <c r="B111" s="10">
        <v>0.20000000000000001</v>
      </c>
      <c r="C111" s="10">
        <v>2</v>
      </c>
      <c r="D111" s="10">
        <v>3</v>
      </c>
      <c r="E111" s="10">
        <v>0.1111111111111111</v>
      </c>
      <c r="F111" s="10">
        <v>0.16666666666666671</v>
      </c>
      <c r="G111" s="10">
        <v>6</v>
      </c>
      <c r="H111" s="10">
        <v>1</v>
      </c>
      <c r="I111" s="10">
        <v>1</v>
      </c>
      <c r="L111" s="5">
        <f t="shared" si="141"/>
        <v>0.010624169986719788</v>
      </c>
      <c r="M111" s="5">
        <f t="shared" si="142"/>
        <v>0.28197381671701915</v>
      </c>
      <c r="N111" s="5">
        <f t="shared" si="143"/>
        <v>0.19042821158690176</v>
      </c>
      <c r="O111" s="5">
        <f t="shared" si="144"/>
        <v>0.0070274068868587496</v>
      </c>
      <c r="P111" s="5">
        <f t="shared" si="145"/>
        <v>0.0048426150121065395</v>
      </c>
      <c r="Q111" s="5">
        <f t="shared" si="146"/>
        <v>0.22380106571936056</v>
      </c>
      <c r="R111" s="5">
        <f t="shared" si="147"/>
        <v>0.092189500640204869</v>
      </c>
      <c r="S111" s="6">
        <f t="shared" si="148"/>
        <v>0.033333333333333333</v>
      </c>
      <c r="T111" s="5">
        <f t="shared" si="149"/>
        <v>0.10552751498531308</v>
      </c>
      <c r="W111" s="5">
        <f>1/AD104</f>
        <v>0.16636874985755767</v>
      </c>
      <c r="X111" s="5">
        <f>1/AD105</f>
        <v>1.0376537750037393</v>
      </c>
      <c r="Y111" s="5">
        <f>1/AD106</f>
        <v>2.8491576048263854</v>
      </c>
      <c r="Z111" s="5">
        <f>1/AD107</f>
        <v>0.10196991160478849</v>
      </c>
      <c r="AA111" s="5">
        <f>1/AD108</f>
        <v>0.248022975359976</v>
      </c>
      <c r="AB111" s="5">
        <f>1/AD109</f>
        <v>5.6534836458605806</v>
      </c>
      <c r="AC111" s="5">
        <f>1/AD110</f>
        <v>0.77523775146091889</v>
      </c>
      <c r="AD111" s="5">
        <v>1</v>
      </c>
      <c r="AG111" s="5">
        <f/>
        <v>6.01074421041322</v>
      </c>
      <c r="AH111" s="5">
        <f/>
        <v>0.96371258322304698</v>
      </c>
      <c r="AI111" s="5">
        <f/>
        <v>0.35098093496338378</v>
      </c>
      <c r="AJ111" s="5">
        <f/>
        <v>9.8068144245899305</v>
      </c>
      <c r="AK111" s="5">
        <f/>
        <v>4.03188454032784</v>
      </c>
      <c r="AL111" s="5">
        <f/>
        <v>0.1768820894586276</v>
      </c>
      <c r="AM111" s="5">
        <f/>
        <v>1.289926861940768</v>
      </c>
      <c r="AN111" s="5">
        <f/>
        <v>1</v>
      </c>
      <c r="AR111" s="5">
        <f t="shared" si="150"/>
        <v>6.1771129602707777</v>
      </c>
      <c r="AS111" s="5">
        <f t="shared" si="151"/>
        <v>2.0013663582267864</v>
      </c>
      <c r="AT111" s="5">
        <f t="shared" si="152"/>
        <v>3.2001385397897693</v>
      </c>
      <c r="AU111" s="5">
        <f t="shared" si="153"/>
        <v>9.908784336194719</v>
      </c>
      <c r="AV111" s="5">
        <f t="shared" si="154"/>
        <v>4.2799075156878157</v>
      </c>
      <c r="AW111" s="5">
        <f t="shared" si="155"/>
        <v>5.8303657353192087</v>
      </c>
      <c r="AX111" s="5">
        <f t="shared" si="156"/>
        <v>2.065164613401687</v>
      </c>
      <c r="AY111" s="5">
        <f t="shared" si="157"/>
        <v>2</v>
      </c>
    </row>
    <row r="112">
      <c r="A112" s="2" t="s">
        <v>6</v>
      </c>
      <c r="B112" s="11">
        <f>SUM(B104:B111)</f>
        <v>19.699999999999999</v>
      </c>
      <c r="C112" s="11">
        <f>SUM(C104:C111)</f>
        <v>7.0928571428571425</v>
      </c>
      <c r="D112" s="11">
        <f>SUM(D104:D111)</f>
        <v>15.753968253968253</v>
      </c>
      <c r="E112" s="11">
        <f>SUM(E104:E111)</f>
        <v>15.81111111111111</v>
      </c>
      <c r="F112" s="11">
        <f>SUM(F104:F111)</f>
        <v>7.416666666666667</v>
      </c>
      <c r="G112" s="11">
        <f>SUM(G104:G111)</f>
        <v>27.666666666666668</v>
      </c>
      <c r="H112" s="11">
        <f>SUM(H104:H111)</f>
        <v>11.722222222222221</v>
      </c>
      <c r="I112" s="11">
        <f>SUM(I104:I111)</f>
        <v>23</v>
      </c>
    </row>
    <row r="114">
      <c r="B114" s="2" t="s">
        <v>7</v>
      </c>
      <c r="C114" s="2">
        <f>B112*T104+C112*T105+D112*T106+E112*T107+F112*T108+G112*T109+H112*T110+I112*T111</f>
        <v>13.514317651172799</v>
      </c>
    </row>
    <row r="115">
      <c r="B115" s="2" t="s">
        <v>8</v>
      </c>
      <c r="C115" s="2">
        <f>(C114-8)/7</f>
        <v>0.78775966445325707</v>
      </c>
    </row>
    <row r="116">
      <c r="B116" s="2" t="s">
        <v>9</v>
      </c>
      <c r="C116" s="2">
        <f>C115/1.41</f>
        <v>0.55869479748457951</v>
      </c>
    </row>
    <row r="120">
      <c r="A120" s="2" t="s">
        <v>24</v>
      </c>
    </row>
    <row r="121">
      <c r="T121" s="12" t="s">
        <v>3</v>
      </c>
    </row>
    <row r="122">
      <c r="B122" s="4">
        <v>1</v>
      </c>
      <c r="C122" s="4">
        <v>0.33333333333333331</v>
      </c>
      <c r="D122" s="4">
        <v>6</v>
      </c>
      <c r="E122" s="4">
        <v>0.20000000000000001</v>
      </c>
      <c r="F122" s="4">
        <v>1</v>
      </c>
      <c r="G122" s="4">
        <v>3</v>
      </c>
      <c r="H122" s="4">
        <v>0.1111111111111111</v>
      </c>
      <c r="I122" s="4">
        <v>5</v>
      </c>
      <c r="L122" s="5">
        <f t="shared" si="141"/>
        <v>0.053120849933598939</v>
      </c>
      <c r="M122" s="5">
        <f t="shared" si="142"/>
        <v>0.046995636119503185</v>
      </c>
      <c r="N122" s="5">
        <f t="shared" si="143"/>
        <v>0.38085642317380353</v>
      </c>
      <c r="O122" s="5">
        <f t="shared" si="144"/>
        <v>0.012649332396345751</v>
      </c>
      <c r="P122" s="5">
        <f t="shared" si="145"/>
        <v>0.029055690072639227</v>
      </c>
      <c r="Q122" s="5">
        <f t="shared" si="146"/>
        <v>0.11190053285968028</v>
      </c>
      <c r="R122" s="5">
        <f t="shared" si="147"/>
        <v>0.010243277848911651</v>
      </c>
      <c r="S122" s="6">
        <f t="shared" si="148"/>
        <v>0.16666666666666666</v>
      </c>
      <c r="T122" s="5">
        <f t="shared" si="149"/>
        <v>0.10143605113389365</v>
      </c>
      <c r="W122" s="5">
        <v>1</v>
      </c>
      <c r="X122" s="5">
        <f>(C122*$T$2)/T123</f>
        <v>0.23284976549932898</v>
      </c>
      <c r="Y122" s="5">
        <f>(D122*$T$2)/T124</f>
        <v>9.2757774450484671</v>
      </c>
      <c r="Z122" s="5">
        <f>(E122*$T$2)/T125</f>
        <v>0.2206494200933389</v>
      </c>
      <c r="AA122" s="5">
        <f>(F122*$T$2)/T126</f>
        <v>1.571622295176035</v>
      </c>
      <c r="AB122" s="5">
        <f>(G122*$T$2)/T127</f>
        <v>3.7888544014664545</v>
      </c>
      <c r="AC122" s="5">
        <f>(H122*$T$2)/T128</f>
        <v>0.14263469388763478</v>
      </c>
      <c r="AD122" s="5">
        <f>(I122*$T$2)/T129</f>
        <v>6.01074421041322</v>
      </c>
      <c r="AG122" s="5">
        <f t="array" ref="AG122:AN129">TRANSPOSE(W122:AD129)</f>
        <v>1</v>
      </c>
      <c r="AH122" s="5">
        <f/>
        <v>4.2946145891775949</v>
      </c>
      <c r="AI122" s="5">
        <f/>
        <v>0.10780767498187591</v>
      </c>
      <c r="AJ122" s="5">
        <f/>
        <v>4.5320762664002512</v>
      </c>
      <c r="AK122" s="5">
        <f/>
        <v>0.63628519592106669</v>
      </c>
      <c r="AL122" s="5">
        <f/>
        <v>0.2639320211441632</v>
      </c>
      <c r="AM122" s="5">
        <f/>
        <v>7.0109169988318776</v>
      </c>
      <c r="AN122" s="5">
        <f/>
        <v>0.1663687498575577</v>
      </c>
      <c r="AR122" s="5">
        <f t="shared" si="150"/>
        <v>2</v>
      </c>
      <c r="AS122" s="5">
        <f t="shared" si="151"/>
        <v>4.5274643546769235</v>
      </c>
      <c r="AT122" s="5">
        <f t="shared" si="152"/>
        <v>9.3835851200303431</v>
      </c>
      <c r="AU122" s="5">
        <f t="shared" si="153"/>
        <v>4.7527256864935898</v>
      </c>
      <c r="AV122" s="5">
        <f t="shared" si="154"/>
        <v>2.2079074910971017</v>
      </c>
      <c r="AW122" s="5">
        <f t="shared" si="155"/>
        <v>4.0527864226106178</v>
      </c>
      <c r="AX122" s="5">
        <f t="shared" si="156"/>
        <v>7.1535516927195122</v>
      </c>
      <c r="AY122" s="5">
        <f t="shared" si="157"/>
        <v>6.1771129602707777</v>
      </c>
    </row>
    <row r="123">
      <c r="B123" s="4">
        <v>3</v>
      </c>
      <c r="C123" s="4">
        <v>1</v>
      </c>
      <c r="D123" s="4">
        <v>4</v>
      </c>
      <c r="E123" s="4">
        <v>6</v>
      </c>
      <c r="F123" s="4">
        <v>1</v>
      </c>
      <c r="G123" s="4">
        <v>0.33333333333333331</v>
      </c>
      <c r="H123" s="4">
        <v>5</v>
      </c>
      <c r="I123" s="4">
        <v>0.5</v>
      </c>
      <c r="L123" s="5">
        <f t="shared" si="141"/>
        <v>0.15936254980079681</v>
      </c>
      <c r="M123" s="5">
        <f t="shared" si="142"/>
        <v>0.14098690835850958</v>
      </c>
      <c r="N123" s="5">
        <f t="shared" si="143"/>
        <v>0.25390428211586902</v>
      </c>
      <c r="O123" s="5">
        <f t="shared" si="144"/>
        <v>0.37947997189037247</v>
      </c>
      <c r="P123" s="5">
        <f t="shared" si="145"/>
        <v>0.029055690072639227</v>
      </c>
      <c r="Q123" s="5">
        <f t="shared" si="146"/>
        <v>0.012433392539964476</v>
      </c>
      <c r="R123" s="5">
        <f t="shared" si="147"/>
        <v>0.46094750320102434</v>
      </c>
      <c r="S123" s="6">
        <f t="shared" si="148"/>
        <v>0.016666666666666666</v>
      </c>
      <c r="T123" s="5">
        <f t="shared" si="149"/>
        <v>0.18160462058073029</v>
      </c>
      <c r="W123" s="5">
        <f>1/X122</f>
        <v>4.2946145891775949</v>
      </c>
      <c r="X123" s="5">
        <v>1</v>
      </c>
      <c r="Y123" s="5">
        <f>(D123*$T$3)/T124</f>
        <v>9.9146718276950185</v>
      </c>
      <c r="Z123" s="5">
        <f>(E123*$T$3)/T125</f>
        <v>10.613126187757059</v>
      </c>
      <c r="AA123" s="5">
        <f>(F123*$T$3)/T126</f>
        <v>2.5198080785256161</v>
      </c>
      <c r="AB123" s="5">
        <f>(G123*$T$3)/T127</f>
        <v>0.67497034104870912</v>
      </c>
      <c r="AC123" s="5">
        <f>(H123*$T$3)/T128</f>
        <v>10.290985611980325</v>
      </c>
      <c r="AD123" s="5">
        <f>(I123*$T$3)/T129</f>
        <v>0.96371258322304698</v>
      </c>
      <c r="AG123" s="5">
        <f/>
        <v>0.23284976549932901</v>
      </c>
      <c r="AH123" s="5">
        <f/>
        <v>1</v>
      </c>
      <c r="AI123" s="5">
        <f/>
        <v>0.1008606252812789</v>
      </c>
      <c r="AJ123" s="5">
        <f/>
        <v>0.094222944522563579</v>
      </c>
      <c r="AK123" s="5">
        <f/>
        <v>0.39685562107774403</v>
      </c>
      <c r="AL123" s="5">
        <f/>
        <v>1.4815465794338289</v>
      </c>
      <c r="AM123" s="5">
        <f/>
        <v>0.097172422322293672</v>
      </c>
      <c r="AN123" s="5">
        <f/>
        <v>1.0376537750037389</v>
      </c>
      <c r="AR123" s="5">
        <f t="shared" si="150"/>
        <v>4.5274643546769235</v>
      </c>
      <c r="AS123" s="5">
        <f t="shared" si="151"/>
        <v>2</v>
      </c>
      <c r="AT123" s="5">
        <f t="shared" si="152"/>
        <v>10.015532452976297</v>
      </c>
      <c r="AU123" s="13">
        <f t="shared" si="153"/>
        <v>10.707349132279623</v>
      </c>
      <c r="AV123" s="5">
        <f t="shared" si="154"/>
        <v>2.9166636996033599</v>
      </c>
      <c r="AW123" s="5">
        <f t="shared" si="155"/>
        <v>2.1565169204825381</v>
      </c>
      <c r="AX123" s="5">
        <f t="shared" si="156"/>
        <v>10.388158034302618</v>
      </c>
      <c r="AY123" s="5">
        <f t="shared" si="157"/>
        <v>2.001366358226786</v>
      </c>
    </row>
    <row r="124">
      <c r="B124" s="4">
        <v>0.16666666666666671</v>
      </c>
      <c r="C124" s="4">
        <v>0.25</v>
      </c>
      <c r="D124" s="4">
        <v>1</v>
      </c>
      <c r="E124" s="4">
        <v>1</v>
      </c>
      <c r="F124" s="4">
        <v>1</v>
      </c>
      <c r="G124" s="4">
        <v>7</v>
      </c>
      <c r="H124" s="4">
        <v>2</v>
      </c>
      <c r="I124" s="4">
        <v>0.33333333333333331</v>
      </c>
      <c r="L124" s="5">
        <f t="shared" si="141"/>
        <v>0.0088534749889331594</v>
      </c>
      <c r="M124" s="5">
        <f t="shared" si="142"/>
        <v>0.035246727089627394</v>
      </c>
      <c r="N124" s="5">
        <f t="shared" si="143"/>
        <v>0.063476070528967254</v>
      </c>
      <c r="O124" s="5">
        <f t="shared" si="144"/>
        <v>0.06324666198172875</v>
      </c>
      <c r="P124" s="5">
        <f t="shared" si="145"/>
        <v>0.029055690072639227</v>
      </c>
      <c r="Q124" s="5">
        <f t="shared" si="146"/>
        <v>0.261101243339254</v>
      </c>
      <c r="R124" s="5">
        <f t="shared" si="147"/>
        <v>0.18437900128040974</v>
      </c>
      <c r="S124" s="6">
        <f t="shared" si="148"/>
        <v>0.01111111111111111</v>
      </c>
      <c r="T124" s="5">
        <f t="shared" si="149"/>
        <v>0.082058747549083821</v>
      </c>
      <c r="W124" s="5">
        <f>1/Y122</f>
        <v>0.10780767498187586</v>
      </c>
      <c r="X124" s="5">
        <f>1/Y123</f>
        <v>0.10086062528127891</v>
      </c>
      <c r="Y124" s="5">
        <v>1</v>
      </c>
      <c r="Z124" s="5">
        <f>(E124*$T$4)/T125</f>
        <v>0.96631636265592136</v>
      </c>
      <c r="AA124" s="5">
        <f>(F124*$T$4)/T126</f>
        <v>1.3765586504610114</v>
      </c>
      <c r="AB124" s="5">
        <f>(G124*$T$4)/T127</f>
        <v>7.7433919128858211</v>
      </c>
      <c r="AC124" s="5">
        <f>(H124*$T$4)/T128</f>
        <v>2.2487657511170744</v>
      </c>
      <c r="AD124" s="5">
        <f>(I124*$T$4)/T129</f>
        <v>0.35098093496338384</v>
      </c>
      <c r="AG124" s="5">
        <f/>
        <v>9.2757774450484671</v>
      </c>
      <c r="AH124" s="5">
        <f/>
        <v>9.9146718276950185</v>
      </c>
      <c r="AI124" s="5">
        <f/>
        <v>1</v>
      </c>
      <c r="AJ124" s="5">
        <f/>
        <v>1.034857773960796</v>
      </c>
      <c r="AK124" s="5">
        <f/>
        <v>0.72644925057504717</v>
      </c>
      <c r="AL124" s="5">
        <f/>
        <v>0.1291423721348644</v>
      </c>
      <c r="AM124" s="5">
        <f/>
        <v>0.44468838050528381</v>
      </c>
      <c r="AN124" s="5">
        <f/>
        <v>2.8491576048263849</v>
      </c>
      <c r="AR124" s="5">
        <f t="shared" si="150"/>
        <v>9.3835851200303431</v>
      </c>
      <c r="AS124" s="5">
        <f t="shared" si="151"/>
        <v>10.015532452976297</v>
      </c>
      <c r="AT124" s="5">
        <f t="shared" si="152"/>
        <v>2</v>
      </c>
      <c r="AU124" s="5">
        <f t="shared" si="153"/>
        <v>2.0011741366167173</v>
      </c>
      <c r="AV124" s="5">
        <f t="shared" si="154"/>
        <v>2.1030079010360585</v>
      </c>
      <c r="AW124" s="5">
        <f t="shared" si="155"/>
        <v>7.8725342850206852</v>
      </c>
      <c r="AX124" s="5">
        <f t="shared" si="156"/>
        <v>2.6934541316223584</v>
      </c>
      <c r="AY124" s="5">
        <f t="shared" si="157"/>
        <v>3.2001385397897688</v>
      </c>
    </row>
    <row r="125" ht="18.75" customHeight="1">
      <c r="B125" s="4">
        <v>5</v>
      </c>
      <c r="C125" s="4">
        <v>0.16666666666666671</v>
      </c>
      <c r="D125" s="4">
        <v>1</v>
      </c>
      <c r="E125" s="4">
        <v>1</v>
      </c>
      <c r="F125" s="4">
        <v>0.25</v>
      </c>
      <c r="G125" s="4">
        <v>0.33333333333333331</v>
      </c>
      <c r="H125" s="4">
        <v>2</v>
      </c>
      <c r="I125" s="4">
        <v>9</v>
      </c>
      <c r="L125" s="5">
        <f t="shared" si="141"/>
        <v>0.26560424966799467</v>
      </c>
      <c r="M125" s="5">
        <f t="shared" si="142"/>
        <v>0.023497818059751603</v>
      </c>
      <c r="N125" s="5">
        <f t="shared" si="143"/>
        <v>0.063476070528967254</v>
      </c>
      <c r="O125" s="5">
        <f t="shared" si="144"/>
        <v>0.06324666198172875</v>
      </c>
      <c r="P125" s="5">
        <f t="shared" si="145"/>
        <v>0.0072639225181598066</v>
      </c>
      <c r="Q125" s="5">
        <f t="shared" si="146"/>
        <v>0.012433392539964476</v>
      </c>
      <c r="R125" s="5">
        <f t="shared" si="147"/>
        <v>0.18437900128040974</v>
      </c>
      <c r="S125" s="6">
        <f t="shared" si="148"/>
        <v>0.29999999999999999</v>
      </c>
      <c r="T125" s="5">
        <f t="shared" si="149"/>
        <v>0.11498763957212205</v>
      </c>
      <c r="W125" s="5">
        <f>1/Z122</f>
        <v>4.5320762664002512</v>
      </c>
      <c r="X125" s="5">
        <f>1/Z123</f>
        <v>0.094222944522563579</v>
      </c>
      <c r="Y125" s="5">
        <f>1/Z124</f>
        <v>1.034857773960796</v>
      </c>
      <c r="Z125" s="5">
        <v>1</v>
      </c>
      <c r="AA125" s="5">
        <f>(F125*$T$5)/T126</f>
        <v>0.35613560518563997</v>
      </c>
      <c r="AB125" s="5">
        <f>(G125*$T$5)/T127</f>
        <v>0.38158615799404999</v>
      </c>
      <c r="AC125" s="5">
        <f>(H125*$T$5)/T128</f>
        <v>2.327152719360293</v>
      </c>
      <c r="AD125" s="5">
        <f>(I125*$T$5)/T129</f>
        <v>9.8068144245899305</v>
      </c>
      <c r="AF125" s="2" t="s">
        <v>4</v>
      </c>
      <c r="AG125" s="5">
        <f/>
        <v>0.2206494200933389</v>
      </c>
      <c r="AH125" s="5">
        <f/>
        <v>10.613126187757061</v>
      </c>
      <c r="AI125" s="5">
        <f/>
        <v>0.96631636265592136</v>
      </c>
      <c r="AJ125" s="5">
        <f/>
        <v>1</v>
      </c>
      <c r="AK125" s="5">
        <f/>
        <v>2.8079191898791982</v>
      </c>
      <c r="AL125" s="5">
        <f/>
        <v>2.6206401334285112</v>
      </c>
      <c r="AM125" s="5">
        <f/>
        <v>0.42970965836521818</v>
      </c>
      <c r="AN125" s="5">
        <f/>
        <v>0.10196991160478849</v>
      </c>
      <c r="AP125" s="8" t="s">
        <v>5</v>
      </c>
      <c r="AR125" s="5">
        <f t="shared" si="150"/>
        <v>4.7527256864935898</v>
      </c>
      <c r="AS125" s="13">
        <f t="shared" si="151"/>
        <v>10.707349132279624</v>
      </c>
      <c r="AT125" s="5">
        <f t="shared" si="152"/>
        <v>2.0011741366167173</v>
      </c>
      <c r="AU125" s="5">
        <f t="shared" si="153"/>
        <v>2</v>
      </c>
      <c r="AV125" s="5">
        <f t="shared" si="154"/>
        <v>3.1640547950648381</v>
      </c>
      <c r="AW125" s="5">
        <f t="shared" si="155"/>
        <v>3.002226291422561</v>
      </c>
      <c r="AX125" s="5">
        <f t="shared" si="156"/>
        <v>2.7568623777255112</v>
      </c>
      <c r="AY125" s="5">
        <f t="shared" si="157"/>
        <v>9.908784336194719</v>
      </c>
    </row>
    <row r="126">
      <c r="B126" s="4">
        <v>1</v>
      </c>
      <c r="C126" s="4">
        <v>0.14285714285714279</v>
      </c>
      <c r="D126" s="4">
        <v>0.1111111111111111</v>
      </c>
      <c r="E126" s="4">
        <v>4</v>
      </c>
      <c r="F126" s="4">
        <v>1</v>
      </c>
      <c r="G126" s="4">
        <v>1</v>
      </c>
      <c r="H126" s="4">
        <v>0.5</v>
      </c>
      <c r="I126" s="4">
        <v>6</v>
      </c>
      <c r="L126" s="5">
        <f t="shared" si="141"/>
        <v>0.053120849933598939</v>
      </c>
      <c r="M126" s="5">
        <f t="shared" si="142"/>
        <v>0.020140986908358503</v>
      </c>
      <c r="N126" s="5">
        <f t="shared" si="143"/>
        <v>0.0070528967254408059</v>
      </c>
      <c r="O126" s="5">
        <f t="shared" si="144"/>
        <v>0.252986647926915</v>
      </c>
      <c r="P126" s="5">
        <f t="shared" si="145"/>
        <v>0.029055690072639227</v>
      </c>
      <c r="Q126" s="5">
        <f t="shared" si="146"/>
        <v>0.037300177619893425</v>
      </c>
      <c r="R126" s="5">
        <f t="shared" si="147"/>
        <v>0.046094750320102434</v>
      </c>
      <c r="S126" s="6">
        <f t="shared" si="148"/>
        <v>0.20000000000000001</v>
      </c>
      <c r="T126" s="5">
        <f t="shared" si="149"/>
        <v>0.080718999938368535</v>
      </c>
      <c r="W126" s="5">
        <f>1/AA122</f>
        <v>0.63628519592106669</v>
      </c>
      <c r="X126" s="5">
        <f>1/AA123</f>
        <v>0.39685562107774397</v>
      </c>
      <c r="Y126" s="5">
        <f>1/AA124</f>
        <v>0.72644925057504717</v>
      </c>
      <c r="Z126" s="5">
        <f>1/AA125</f>
        <v>2.8079191898791978</v>
      </c>
      <c r="AA126" s="5">
        <v>1</v>
      </c>
      <c r="AB126" s="5">
        <f>(G126*$T$6)/T127</f>
        <v>0.70596839001329181</v>
      </c>
      <c r="AC126" s="5">
        <f>(H126*$T$6)/T128</f>
        <v>0.35878665586262726</v>
      </c>
      <c r="AD126" s="5">
        <f>(I126*$T$6)/T129</f>
        <v>4.03188454032784</v>
      </c>
      <c r="AG126" s="5">
        <f/>
        <v>1.571622295176035</v>
      </c>
      <c r="AH126" s="5">
        <f/>
        <v>2.5198080785256161</v>
      </c>
      <c r="AI126" s="5">
        <f/>
        <v>1.376558650461011</v>
      </c>
      <c r="AJ126" s="5">
        <f/>
        <v>0.35613560518564003</v>
      </c>
      <c r="AK126" s="5">
        <f/>
        <v>1</v>
      </c>
      <c r="AL126" s="5">
        <f/>
        <v>1.4164940160864321</v>
      </c>
      <c r="AM126" s="5">
        <f/>
        <v>2.787171662211656</v>
      </c>
      <c r="AN126" s="5">
        <f/>
        <v>0.248022975359976</v>
      </c>
      <c r="AR126" s="5">
        <f t="shared" si="150"/>
        <v>2.2079074910971017</v>
      </c>
      <c r="AS126" s="5">
        <f t="shared" si="151"/>
        <v>2.9166636996033599</v>
      </c>
      <c r="AT126" s="5">
        <f t="shared" si="152"/>
        <v>2.1030079010360581</v>
      </c>
      <c r="AU126" s="5">
        <f t="shared" si="153"/>
        <v>3.1640547950648377</v>
      </c>
      <c r="AV126" s="5">
        <f t="shared" si="154"/>
        <v>2</v>
      </c>
      <c r="AW126" s="5">
        <f t="shared" si="155"/>
        <v>2.1224624060997241</v>
      </c>
      <c r="AX126" s="5">
        <f t="shared" si="156"/>
        <v>3.1459583180742832</v>
      </c>
      <c r="AY126" s="5">
        <f t="shared" si="157"/>
        <v>4.2799075156878157</v>
      </c>
    </row>
    <row r="127">
      <c r="B127" s="4">
        <v>0.33333333333333331</v>
      </c>
      <c r="C127" s="4">
        <v>3</v>
      </c>
      <c r="D127" s="4">
        <v>0.14285714285714279</v>
      </c>
      <c r="E127" s="4">
        <v>3</v>
      </c>
      <c r="F127" s="4">
        <v>1</v>
      </c>
      <c r="G127" s="4">
        <v>1</v>
      </c>
      <c r="H127" s="4">
        <v>1</v>
      </c>
      <c r="I127" s="4">
        <v>0.16666666666666671</v>
      </c>
      <c r="L127" s="5">
        <f t="shared" si="141"/>
        <v>0.017706949977866312</v>
      </c>
      <c r="M127" s="5">
        <f t="shared" si="142"/>
        <v>0.42296072507552873</v>
      </c>
      <c r="N127" s="5">
        <f t="shared" si="143"/>
        <v>0.0090680100755667469</v>
      </c>
      <c r="O127" s="5">
        <f t="shared" si="144"/>
        <v>0.18973998594518623</v>
      </c>
      <c r="P127" s="5">
        <f t="shared" si="145"/>
        <v>0.029055690072639227</v>
      </c>
      <c r="Q127" s="5">
        <f t="shared" si="146"/>
        <v>0.037300177619893425</v>
      </c>
      <c r="R127" s="5">
        <f t="shared" si="147"/>
        <v>0.092189500640204869</v>
      </c>
      <c r="S127" s="6">
        <f t="shared" si="148"/>
        <v>0.0055555555555555575</v>
      </c>
      <c r="T127" s="5">
        <f t="shared" si="149"/>
        <v>0.10044707437030514</v>
      </c>
      <c r="W127" s="5">
        <f>1/AB122</f>
        <v>0.2639320211441632</v>
      </c>
      <c r="X127" s="5">
        <f>1/AB123</f>
        <v>1.4815465794338289</v>
      </c>
      <c r="Y127" s="5">
        <f>1/AB124</f>
        <v>0.12914237213486437</v>
      </c>
      <c r="Z127" s="5">
        <f>1/AB125</f>
        <v>2.6206401334285108</v>
      </c>
      <c r="AA127" s="5">
        <f>1/AB126</f>
        <v>1.4164940160864317</v>
      </c>
      <c r="AB127" s="5">
        <v>1</v>
      </c>
      <c r="AC127" s="5">
        <f>(H127*$T$7)/T128</f>
        <v>1.1332991200849283</v>
      </c>
      <c r="AD127" s="5">
        <f>(I127*$T$7)/T129</f>
        <v>0.17688208945862771</v>
      </c>
      <c r="AG127" s="5">
        <f/>
        <v>3.788854401466454</v>
      </c>
      <c r="AH127" s="5">
        <f/>
        <v>0.67497034104870912</v>
      </c>
      <c r="AI127" s="5">
        <f/>
        <v>7.7433919128858211</v>
      </c>
      <c r="AJ127" s="5">
        <f/>
        <v>0.38158615799404999</v>
      </c>
      <c r="AK127" s="5">
        <f/>
        <v>0.70596839001329181</v>
      </c>
      <c r="AL127" s="5">
        <f/>
        <v>1</v>
      </c>
      <c r="AM127" s="5">
        <f/>
        <v>0.88237957859268523</v>
      </c>
      <c r="AN127" s="5">
        <f/>
        <v>5.6534836458605833</v>
      </c>
      <c r="AR127" s="5">
        <f t="shared" si="150"/>
        <v>4.0527864226106169</v>
      </c>
      <c r="AS127" s="5">
        <f t="shared" si="151"/>
        <v>2.1565169204825381</v>
      </c>
      <c r="AT127" s="5">
        <f t="shared" si="152"/>
        <v>7.8725342850206852</v>
      </c>
      <c r="AU127" s="5">
        <f t="shared" si="153"/>
        <v>3.0022262914225606</v>
      </c>
      <c r="AV127" s="5">
        <f t="shared" si="154"/>
        <v>2.1224624060997233</v>
      </c>
      <c r="AW127" s="5">
        <f t="shared" si="155"/>
        <v>2</v>
      </c>
      <c r="AX127" s="5">
        <f t="shared" si="156"/>
        <v>2.0156786986776134</v>
      </c>
      <c r="AY127" s="5">
        <f t="shared" si="157"/>
        <v>5.8303657353192113</v>
      </c>
    </row>
    <row r="128">
      <c r="B128" s="4">
        <v>9</v>
      </c>
      <c r="C128" s="4">
        <v>0.20000000000000001</v>
      </c>
      <c r="D128" s="4">
        <v>0.5</v>
      </c>
      <c r="E128" s="4">
        <v>0.5</v>
      </c>
      <c r="F128" s="4">
        <v>2</v>
      </c>
      <c r="G128" s="4">
        <v>1</v>
      </c>
      <c r="H128" s="4">
        <v>1</v>
      </c>
      <c r="I128" s="4">
        <v>1</v>
      </c>
      <c r="L128" s="5">
        <f t="shared" si="141"/>
        <v>0.47808764940239046</v>
      </c>
      <c r="M128" s="5">
        <f t="shared" si="142"/>
        <v>0.028197381671701917</v>
      </c>
      <c r="N128" s="5">
        <f t="shared" si="143"/>
        <v>0.031738035264483627</v>
      </c>
      <c r="O128" s="5">
        <f t="shared" si="144"/>
        <v>0.031623330990864375</v>
      </c>
      <c r="P128" s="5">
        <f t="shared" si="145"/>
        <v>0.058111380145278453</v>
      </c>
      <c r="Q128" s="5">
        <f t="shared" si="146"/>
        <v>0.037300177619893425</v>
      </c>
      <c r="R128" s="5">
        <f t="shared" si="147"/>
        <v>0.092189500640204869</v>
      </c>
      <c r="S128" s="6">
        <f t="shared" si="148"/>
        <v>0.033333333333333333</v>
      </c>
      <c r="T128" s="5">
        <f t="shared" si="149"/>
        <v>0.098822598633518818</v>
      </c>
      <c r="W128" s="5">
        <f>1/AC122</f>
        <v>7.0109169988318776</v>
      </c>
      <c r="X128" s="5">
        <f>1/AC123</f>
        <v>0.097172422322293672</v>
      </c>
      <c r="Y128" s="5">
        <f>1/AC124</f>
        <v>0.44468838050528381</v>
      </c>
      <c r="Z128" s="5">
        <f>1/AC125</f>
        <v>0.42970965836521818</v>
      </c>
      <c r="AA128" s="5">
        <f>1/AC126</f>
        <v>2.7871716622116556</v>
      </c>
      <c r="AB128" s="5">
        <f>1/AC127</f>
        <v>0.88237957859268523</v>
      </c>
      <c r="AC128" s="5">
        <v>1</v>
      </c>
      <c r="AD128" s="5">
        <f>(I128*T128)/T129</f>
        <v>0.93646286134258505</v>
      </c>
      <c r="AG128" s="5">
        <f/>
        <v>0.14263469388763481</v>
      </c>
      <c r="AH128" s="5">
        <f/>
        <v>10.29098561198033</v>
      </c>
      <c r="AI128" s="5">
        <f/>
        <v>2.248765751117074</v>
      </c>
      <c r="AJ128" s="5">
        <f/>
        <v>2.327152719360293</v>
      </c>
      <c r="AK128" s="5">
        <f/>
        <v>0.35878665586262731</v>
      </c>
      <c r="AL128" s="5">
        <f/>
        <v>1.1332991200849281</v>
      </c>
      <c r="AM128" s="5">
        <f/>
        <v>1</v>
      </c>
      <c r="AN128" s="5">
        <f/>
        <v>1.0678480068780549</v>
      </c>
      <c r="AR128" s="5">
        <f t="shared" si="150"/>
        <v>7.1535516927195122</v>
      </c>
      <c r="AS128" s="5">
        <f t="shared" si="151"/>
        <v>10.388158034302624</v>
      </c>
      <c r="AT128" s="5">
        <f t="shared" si="152"/>
        <v>2.6934541316223579</v>
      </c>
      <c r="AU128" s="5">
        <f t="shared" si="153"/>
        <v>2.7568623777255112</v>
      </c>
      <c r="AV128" s="5">
        <f t="shared" si="154"/>
        <v>3.1459583180742827</v>
      </c>
      <c r="AW128" s="5">
        <f t="shared" si="155"/>
        <v>2.0156786986776134</v>
      </c>
      <c r="AX128" s="5">
        <f t="shared" si="156"/>
        <v>2</v>
      </c>
      <c r="AY128" s="5">
        <f t="shared" si="157"/>
        <v>2.0043108682206401</v>
      </c>
    </row>
    <row r="129">
      <c r="B129" s="10">
        <v>0.20000000000000001</v>
      </c>
      <c r="C129" s="10">
        <v>2</v>
      </c>
      <c r="D129" s="10">
        <v>3</v>
      </c>
      <c r="E129" s="10">
        <v>0.1111111111111111</v>
      </c>
      <c r="F129" s="10">
        <v>0.16666666666666671</v>
      </c>
      <c r="G129" s="10">
        <v>6</v>
      </c>
      <c r="H129" s="10">
        <v>1</v>
      </c>
      <c r="I129" s="10">
        <v>1</v>
      </c>
      <c r="L129" s="5">
        <f t="shared" si="141"/>
        <v>0.010624169986719788</v>
      </c>
      <c r="M129" s="5">
        <f t="shared" si="142"/>
        <v>0.28197381671701915</v>
      </c>
      <c r="N129" s="5">
        <f t="shared" si="143"/>
        <v>0.19042821158690176</v>
      </c>
      <c r="O129" s="5">
        <f t="shared" si="144"/>
        <v>0.0070274068868587496</v>
      </c>
      <c r="P129" s="5">
        <f t="shared" si="145"/>
        <v>0.0048426150121065395</v>
      </c>
      <c r="Q129" s="5">
        <f t="shared" si="146"/>
        <v>0.22380106571936056</v>
      </c>
      <c r="R129" s="5">
        <f t="shared" si="147"/>
        <v>0.092189500640204869</v>
      </c>
      <c r="S129" s="6">
        <f t="shared" si="148"/>
        <v>0.033333333333333333</v>
      </c>
      <c r="T129" s="5">
        <f t="shared" si="149"/>
        <v>0.10552751498531308</v>
      </c>
      <c r="W129" s="5">
        <f>1/AD122</f>
        <v>0.16636874985755767</v>
      </c>
      <c r="X129" s="5">
        <f>1/AD123</f>
        <v>1.0376537750037393</v>
      </c>
      <c r="Y129" s="5">
        <f>1/AD124</f>
        <v>2.8491576048263854</v>
      </c>
      <c r="Z129" s="5">
        <f>1/AD125</f>
        <v>0.10196991160478849</v>
      </c>
      <c r="AA129" s="5">
        <f>1/AD126</f>
        <v>0.248022975359976</v>
      </c>
      <c r="AB129" s="5">
        <f>1/AD127</f>
        <v>5.6534836458605806</v>
      </c>
      <c r="AC129" s="5">
        <f>1/AD128</f>
        <v>1.0678480068780551</v>
      </c>
      <c r="AD129" s="5">
        <v>1</v>
      </c>
      <c r="AG129" s="5">
        <f/>
        <v>6.01074421041322</v>
      </c>
      <c r="AH129" s="5">
        <f/>
        <v>0.96371258322304698</v>
      </c>
      <c r="AI129" s="5">
        <f/>
        <v>0.35098093496338378</v>
      </c>
      <c r="AJ129" s="5">
        <f/>
        <v>9.8068144245899305</v>
      </c>
      <c r="AK129" s="5">
        <f/>
        <v>4.03188454032784</v>
      </c>
      <c r="AL129" s="5">
        <f/>
        <v>0.1768820894586276</v>
      </c>
      <c r="AM129" s="5">
        <f/>
        <v>0.93646286134258505</v>
      </c>
      <c r="AN129" s="5">
        <f/>
        <v>1</v>
      </c>
      <c r="AR129" s="5">
        <f t="shared" si="150"/>
        <v>6.1771129602707777</v>
      </c>
      <c r="AS129" s="5">
        <f t="shared" si="151"/>
        <v>2.0013663582267864</v>
      </c>
      <c r="AT129" s="5">
        <f t="shared" si="152"/>
        <v>3.2001385397897693</v>
      </c>
      <c r="AU129" s="5">
        <f t="shared" si="153"/>
        <v>9.908784336194719</v>
      </c>
      <c r="AV129" s="5">
        <f t="shared" si="154"/>
        <v>4.2799075156878157</v>
      </c>
      <c r="AW129" s="5">
        <f t="shared" si="155"/>
        <v>5.8303657353192087</v>
      </c>
      <c r="AX129" s="5">
        <f t="shared" si="156"/>
        <v>2.0043108682206401</v>
      </c>
      <c r="AY129" s="5">
        <f t="shared" si="157"/>
        <v>2</v>
      </c>
    </row>
    <row r="130">
      <c r="A130" s="2" t="s">
        <v>6</v>
      </c>
      <c r="B130" s="11">
        <f>SUM(B122:B129)</f>
        <v>19.699999999999999</v>
      </c>
      <c r="C130" s="11">
        <f>SUM(C122:C129)</f>
        <v>7.0928571428571425</v>
      </c>
      <c r="D130" s="11">
        <f>SUM(D122:D129)</f>
        <v>15.753968253968253</v>
      </c>
      <c r="E130" s="11">
        <f>SUM(E122:E129)</f>
        <v>15.81111111111111</v>
      </c>
      <c r="F130" s="11">
        <f>SUM(F122:F129)</f>
        <v>7.416666666666667</v>
      </c>
      <c r="G130" s="11">
        <f>SUM(G122:G129)</f>
        <v>19.666666666666668</v>
      </c>
      <c r="H130" s="11">
        <f>SUM(H122:H129)</f>
        <v>12.611111111111111</v>
      </c>
      <c r="I130" s="11">
        <f>SUM(I122:I129)</f>
        <v>23</v>
      </c>
    </row>
    <row r="132">
      <c r="B132" s="2" t="s">
        <v>7</v>
      </c>
      <c r="C132" s="2">
        <f>B130*T122+C130*T123+D130*T124+E130*T125+F130*T126+G130*T127+H130*T128+I130*T129</f>
        <v>12.644739748937955</v>
      </c>
    </row>
    <row r="133">
      <c r="B133" s="2" t="s">
        <v>8</v>
      </c>
      <c r="C133" s="2">
        <f>(C132-8)/7</f>
        <v>0.66353424984827925</v>
      </c>
    </row>
    <row r="134">
      <c r="B134" s="2" t="s">
        <v>9</v>
      </c>
      <c r="C134" s="2">
        <f>C133/1.41</f>
        <v>0.47059166655906332</v>
      </c>
    </row>
    <row r="139">
      <c r="A139" s="2" t="s">
        <v>25</v>
      </c>
    </row>
    <row r="140">
      <c r="T140" s="12" t="s">
        <v>3</v>
      </c>
    </row>
    <row r="141">
      <c r="B141" s="4">
        <v>1</v>
      </c>
      <c r="C141" s="4">
        <v>0.33333333333333331</v>
      </c>
      <c r="D141" s="4">
        <v>6</v>
      </c>
      <c r="E141" s="4">
        <v>0.20000000000000001</v>
      </c>
      <c r="F141" s="4">
        <v>1</v>
      </c>
      <c r="G141" s="4">
        <v>3</v>
      </c>
      <c r="H141" s="4">
        <v>0.1111111111111111</v>
      </c>
      <c r="I141" s="4">
        <v>5</v>
      </c>
      <c r="L141" s="5">
        <f t="shared" si="141"/>
        <v>0.053120849933598939</v>
      </c>
      <c r="M141" s="5">
        <f t="shared" si="142"/>
        <v>0.046995636119503185</v>
      </c>
      <c r="N141" s="5">
        <f t="shared" si="143"/>
        <v>0.38085642317380353</v>
      </c>
      <c r="O141" s="5">
        <f t="shared" si="144"/>
        <v>0.012649332396345751</v>
      </c>
      <c r="P141" s="5">
        <f t="shared" si="145"/>
        <v>0.029055690072639227</v>
      </c>
      <c r="Q141" s="5">
        <f t="shared" si="146"/>
        <v>0.11190053285968028</v>
      </c>
      <c r="R141" s="5">
        <f t="shared" si="147"/>
        <v>0.010243277848911651</v>
      </c>
      <c r="S141" s="6">
        <f t="shared" si="148"/>
        <v>0.16666666666666666</v>
      </c>
      <c r="T141" s="5">
        <f t="shared" si="149"/>
        <v>0.10143605113389365</v>
      </c>
      <c r="W141" s="5">
        <v>1</v>
      </c>
      <c r="X141" s="5">
        <f>(C141*$T$2)/T142</f>
        <v>0.29763475167142595</v>
      </c>
      <c r="Y141" s="5">
        <f>(D141*$T$2)/T143</f>
        <v>9.2757774450484671</v>
      </c>
      <c r="Z141" s="5">
        <f>(E141*$T$2)/T144</f>
        <v>0.19565988436233486</v>
      </c>
      <c r="AA141" s="5">
        <f>(F141*$T$2)/T145</f>
        <v>1.571622295176035</v>
      </c>
      <c r="AB141" s="5">
        <f>(G141*$T$2)/T146</f>
        <v>3.7888544014664545</v>
      </c>
      <c r="AC141" s="5">
        <f>(H141*$T$2)/T147</f>
        <v>0.14263469388763478</v>
      </c>
      <c r="AD141" s="5">
        <f>(I141*$T$2)/T148</f>
        <v>6.01074421041322</v>
      </c>
      <c r="AG141" s="5">
        <f t="array" ref="AG141:AN148">TRANSPOSE(W141:AD148)</f>
        <v>1</v>
      </c>
      <c r="AH141" s="5">
        <f/>
        <v>3.359822716884723</v>
      </c>
      <c r="AI141" s="5">
        <f/>
        <v>0.10780767498187591</v>
      </c>
      <c r="AJ141" s="5">
        <f/>
        <v>5.1109096954597968</v>
      </c>
      <c r="AK141" s="5">
        <f/>
        <v>0.63628519592106669</v>
      </c>
      <c r="AL141" s="5">
        <f/>
        <v>0.2639320211441632</v>
      </c>
      <c r="AM141" s="5">
        <f/>
        <v>7.0109169988318776</v>
      </c>
      <c r="AN141" s="5">
        <f/>
        <v>0.1663687498575577</v>
      </c>
      <c r="AR141" s="5">
        <f t="shared" si="150"/>
        <v>2</v>
      </c>
      <c r="AS141" s="5">
        <f t="shared" si="151"/>
        <v>3.6574574685561489</v>
      </c>
      <c r="AT141" s="5">
        <f t="shared" si="152"/>
        <v>9.3835851200303431</v>
      </c>
      <c r="AU141" s="5">
        <f t="shared" si="153"/>
        <v>5.3065695798221313</v>
      </c>
      <c r="AV141" s="5">
        <f t="shared" si="154"/>
        <v>2.2079074910971017</v>
      </c>
      <c r="AW141" s="5">
        <f t="shared" si="155"/>
        <v>4.0527864226106178</v>
      </c>
      <c r="AX141" s="5">
        <f t="shared" si="156"/>
        <v>7.1535516927195122</v>
      </c>
      <c r="AY141" s="5">
        <f t="shared" si="157"/>
        <v>6.1771129602707777</v>
      </c>
    </row>
    <row r="142">
      <c r="B142" s="4">
        <v>3</v>
      </c>
      <c r="C142" s="4">
        <v>1</v>
      </c>
      <c r="D142" s="4">
        <v>4</v>
      </c>
      <c r="E142" s="4">
        <v>1</v>
      </c>
      <c r="F142" s="4">
        <v>1</v>
      </c>
      <c r="G142" s="4">
        <v>0.33333333333333331</v>
      </c>
      <c r="H142" s="4">
        <v>5</v>
      </c>
      <c r="I142" s="4">
        <v>0.5</v>
      </c>
      <c r="L142" s="5">
        <f t="shared" si="141"/>
        <v>0.15936254980079681</v>
      </c>
      <c r="M142" s="5">
        <f t="shared" si="142"/>
        <v>0.14098690835850958</v>
      </c>
      <c r="N142" s="5">
        <f t="shared" si="143"/>
        <v>0.25390428211586902</v>
      </c>
      <c r="O142" s="5">
        <f t="shared" si="144"/>
        <v>0.06324666198172875</v>
      </c>
      <c r="P142" s="5">
        <f t="shared" si="145"/>
        <v>0.029055690072639227</v>
      </c>
      <c r="Q142" s="5">
        <f t="shared" si="146"/>
        <v>0.012433392539964476</v>
      </c>
      <c r="R142" s="5">
        <f t="shared" si="147"/>
        <v>0.46094750320102434</v>
      </c>
      <c r="S142" s="6">
        <f t="shared" si="148"/>
        <v>0.016666666666666666</v>
      </c>
      <c r="T142" s="5">
        <f t="shared" si="149"/>
        <v>0.14207545684214984</v>
      </c>
      <c r="W142" s="5">
        <f>1/X141</f>
        <v>3.3598227168847226</v>
      </c>
      <c r="X142" s="5">
        <v>1</v>
      </c>
      <c r="Y142" s="5">
        <f>(D142*$T$3)/T143</f>
        <v>9.9146718276950185</v>
      </c>
      <c r="Z142" s="5">
        <f>(E142*$T$3)/T144</f>
        <v>1.5685236801898901</v>
      </c>
      <c r="AA142" s="5">
        <f>(F142*$T$3)/T145</f>
        <v>2.5198080785256161</v>
      </c>
      <c r="AB142" s="5">
        <f>(G142*$T$3)/T146</f>
        <v>0.67497034104870912</v>
      </c>
      <c r="AC142" s="5">
        <f>(H142*$T$3)/T147</f>
        <v>10.290985611980325</v>
      </c>
      <c r="AD142" s="5">
        <f>(I142*$T$3)/T148</f>
        <v>0.96371258322304698</v>
      </c>
      <c r="AG142" s="5">
        <f/>
        <v>0.29763475167142589</v>
      </c>
      <c r="AH142" s="5">
        <f/>
        <v>1</v>
      </c>
      <c r="AI142" s="5">
        <f/>
        <v>0.1008606252812789</v>
      </c>
      <c r="AJ142" s="5">
        <f/>
        <v>0.63754217588792605</v>
      </c>
      <c r="AK142" s="5">
        <f/>
        <v>0.39685562107774403</v>
      </c>
      <c r="AL142" s="5">
        <f/>
        <v>1.4815465794338289</v>
      </c>
      <c r="AM142" s="5">
        <f/>
        <v>0.097172422322293672</v>
      </c>
      <c r="AN142" s="5">
        <f/>
        <v>1.0376537750037389</v>
      </c>
      <c r="AR142" s="5">
        <f t="shared" si="150"/>
        <v>3.6574574685561485</v>
      </c>
      <c r="AS142" s="5">
        <f t="shared" si="151"/>
        <v>2</v>
      </c>
      <c r="AT142" s="5">
        <f t="shared" si="152"/>
        <v>10.015532452976297</v>
      </c>
      <c r="AU142" s="5">
        <f t="shared" si="153"/>
        <v>2.2060658560778164</v>
      </c>
      <c r="AV142" s="5">
        <f t="shared" si="154"/>
        <v>2.9166636996033599</v>
      </c>
      <c r="AW142" s="5">
        <f t="shared" si="155"/>
        <v>2.1565169204825381</v>
      </c>
      <c r="AX142" s="13">
        <f t="shared" si="156"/>
        <v>10.388158034302618</v>
      </c>
      <c r="AY142" s="5">
        <f t="shared" si="157"/>
        <v>2.001366358226786</v>
      </c>
    </row>
    <row r="143">
      <c r="B143" s="4">
        <v>0.16666666666666671</v>
      </c>
      <c r="C143" s="4">
        <v>0.25</v>
      </c>
      <c r="D143" s="4">
        <v>1</v>
      </c>
      <c r="E143" s="4">
        <v>1</v>
      </c>
      <c r="F143" s="4">
        <v>1</v>
      </c>
      <c r="G143" s="4">
        <v>7</v>
      </c>
      <c r="H143" s="4">
        <v>2</v>
      </c>
      <c r="I143" s="4">
        <v>0.33333333333333331</v>
      </c>
      <c r="L143" s="5">
        <f t="shared" si="141"/>
        <v>0.0088534749889331594</v>
      </c>
      <c r="M143" s="5">
        <f t="shared" si="142"/>
        <v>0.035246727089627394</v>
      </c>
      <c r="N143" s="5">
        <f t="shared" si="143"/>
        <v>0.063476070528967254</v>
      </c>
      <c r="O143" s="5">
        <f t="shared" si="144"/>
        <v>0.06324666198172875</v>
      </c>
      <c r="P143" s="5">
        <f t="shared" si="145"/>
        <v>0.029055690072639227</v>
      </c>
      <c r="Q143" s="5">
        <f t="shared" si="146"/>
        <v>0.261101243339254</v>
      </c>
      <c r="R143" s="5">
        <f t="shared" si="147"/>
        <v>0.18437900128040974</v>
      </c>
      <c r="S143" s="6">
        <f t="shared" si="148"/>
        <v>0.01111111111111111</v>
      </c>
      <c r="T143" s="5">
        <f t="shared" si="149"/>
        <v>0.082058747549083821</v>
      </c>
      <c r="W143" s="5">
        <f>1/Y141</f>
        <v>0.10780767498187586</v>
      </c>
      <c r="X143" s="5">
        <f>1/Y142</f>
        <v>0.10086062528127891</v>
      </c>
      <c r="Y143" s="5">
        <v>1</v>
      </c>
      <c r="Z143" s="5">
        <f>(E143*$T$4)/T144</f>
        <v>0.85687670375344593</v>
      </c>
      <c r="AA143" s="5">
        <f>(F143*$T$4)/T145</f>
        <v>1.3765586504610114</v>
      </c>
      <c r="AB143" s="5">
        <f>(G143*$T$4)/T146</f>
        <v>7.7433919128858211</v>
      </c>
      <c r="AC143" s="5">
        <f>(H143*$T$4)/T147</f>
        <v>2.2487657511170744</v>
      </c>
      <c r="AD143" s="5">
        <f>(I143*$T$4)/T148</f>
        <v>0.35098093496338384</v>
      </c>
      <c r="AG143" s="5">
        <f/>
        <v>9.2757774450484671</v>
      </c>
      <c r="AH143" s="5">
        <f/>
        <v>9.9146718276950185</v>
      </c>
      <c r="AI143" s="5">
        <f/>
        <v>1</v>
      </c>
      <c r="AJ143" s="5">
        <f/>
        <v>1.167029043524721</v>
      </c>
      <c r="AK143" s="5">
        <f/>
        <v>0.72644925057504717</v>
      </c>
      <c r="AL143" s="5">
        <f/>
        <v>0.1291423721348644</v>
      </c>
      <c r="AM143" s="5">
        <f/>
        <v>0.44468838050528381</v>
      </c>
      <c r="AN143" s="5">
        <f/>
        <v>2.8491576048263849</v>
      </c>
      <c r="AR143" s="5">
        <f t="shared" si="150"/>
        <v>9.3835851200303431</v>
      </c>
      <c r="AS143" s="5">
        <f t="shared" si="151"/>
        <v>10.015532452976297</v>
      </c>
      <c r="AT143" s="5">
        <f t="shared" si="152"/>
        <v>2</v>
      </c>
      <c r="AU143" s="5">
        <f t="shared" si="153"/>
        <v>2.023905747278167</v>
      </c>
      <c r="AV143" s="5">
        <f t="shared" si="154"/>
        <v>2.1030079010360585</v>
      </c>
      <c r="AW143" s="5">
        <f t="shared" si="155"/>
        <v>7.8725342850206852</v>
      </c>
      <c r="AX143" s="5">
        <f t="shared" si="156"/>
        <v>2.6934541316223584</v>
      </c>
      <c r="AY143" s="5">
        <f t="shared" si="157"/>
        <v>3.2001385397897688</v>
      </c>
    </row>
    <row r="144" ht="18.75" customHeight="1">
      <c r="B144" s="4">
        <v>5</v>
      </c>
      <c r="C144" s="4">
        <v>1</v>
      </c>
      <c r="D144" s="4">
        <v>1</v>
      </c>
      <c r="E144" s="4">
        <v>1</v>
      </c>
      <c r="F144" s="4">
        <v>0.25</v>
      </c>
      <c r="G144" s="4">
        <v>0.33333333333333331</v>
      </c>
      <c r="H144" s="4">
        <v>2</v>
      </c>
      <c r="I144" s="4">
        <v>9</v>
      </c>
      <c r="L144" s="5">
        <f t="shared" si="141"/>
        <v>0.26560424966799467</v>
      </c>
      <c r="M144" s="5">
        <f t="shared" si="142"/>
        <v>0.14098690835850958</v>
      </c>
      <c r="N144" s="5">
        <f t="shared" si="143"/>
        <v>0.063476070528967254</v>
      </c>
      <c r="O144" s="5">
        <f t="shared" si="144"/>
        <v>0.06324666198172875</v>
      </c>
      <c r="P144" s="5">
        <f t="shared" si="145"/>
        <v>0.0072639225181598066</v>
      </c>
      <c r="Q144" s="5">
        <f t="shared" si="146"/>
        <v>0.012433392539964476</v>
      </c>
      <c r="R144" s="5">
        <f t="shared" si="147"/>
        <v>0.18437900128040974</v>
      </c>
      <c r="S144" s="6">
        <f t="shared" si="148"/>
        <v>0.29999999999999999</v>
      </c>
      <c r="T144" s="5">
        <f t="shared" si="149"/>
        <v>0.12967377585946677</v>
      </c>
      <c r="W144" s="5">
        <f>1/Z141</f>
        <v>5.1109096954597968</v>
      </c>
      <c r="X144" s="5">
        <f>1/Z142</f>
        <v>0.63754217588792605</v>
      </c>
      <c r="Y144" s="5">
        <f>1/Z143</f>
        <v>1.1670290435247213</v>
      </c>
      <c r="Z144" s="5">
        <v>1</v>
      </c>
      <c r="AA144" s="5">
        <f>(F144*$T$5)/T145</f>
        <v>0.35613560518563997</v>
      </c>
      <c r="AB144" s="5">
        <f>(G144*$T$5)/T146</f>
        <v>0.38158615799404999</v>
      </c>
      <c r="AC144" s="5">
        <f>(H144*$T$5)/T147</f>
        <v>2.327152719360293</v>
      </c>
      <c r="AD144" s="5">
        <f>(I144*$T$5)/T148</f>
        <v>9.8068144245899305</v>
      </c>
      <c r="AF144" s="2" t="s">
        <v>4</v>
      </c>
      <c r="AG144" s="5">
        <f/>
        <v>0.19565988436233489</v>
      </c>
      <c r="AH144" s="5">
        <f/>
        <v>1.5685236801898901</v>
      </c>
      <c r="AI144" s="5">
        <f/>
        <v>0.85687670375344593</v>
      </c>
      <c r="AJ144" s="5">
        <f/>
        <v>1</v>
      </c>
      <c r="AK144" s="5">
        <f/>
        <v>2.8079191898791982</v>
      </c>
      <c r="AL144" s="5">
        <f/>
        <v>2.6206401334285112</v>
      </c>
      <c r="AM144" s="5">
        <f/>
        <v>0.42970965836521818</v>
      </c>
      <c r="AN144" s="5">
        <f/>
        <v>0.10196991160478849</v>
      </c>
      <c r="AP144" s="8" t="s">
        <v>5</v>
      </c>
      <c r="AR144" s="5">
        <f t="shared" si="150"/>
        <v>5.3065695798221313</v>
      </c>
      <c r="AS144" s="5">
        <f t="shared" si="151"/>
        <v>2.2060658560778164</v>
      </c>
      <c r="AT144" s="5">
        <f t="shared" si="152"/>
        <v>2.0239057472781674</v>
      </c>
      <c r="AU144" s="5">
        <f t="shared" si="153"/>
        <v>2</v>
      </c>
      <c r="AV144" s="5">
        <f t="shared" si="154"/>
        <v>3.1640547950648381</v>
      </c>
      <c r="AW144" s="5">
        <f t="shared" si="155"/>
        <v>3.002226291422561</v>
      </c>
      <c r="AX144" s="5">
        <f t="shared" si="156"/>
        <v>2.7568623777255112</v>
      </c>
      <c r="AY144" s="5">
        <f t="shared" si="157"/>
        <v>9.908784336194719</v>
      </c>
    </row>
    <row r="145">
      <c r="B145" s="4">
        <v>1</v>
      </c>
      <c r="C145" s="4">
        <v>0.14285714285714279</v>
      </c>
      <c r="D145" s="4">
        <v>0.1111111111111111</v>
      </c>
      <c r="E145" s="4">
        <v>4</v>
      </c>
      <c r="F145" s="4">
        <v>1</v>
      </c>
      <c r="G145" s="4">
        <v>1</v>
      </c>
      <c r="H145" s="4">
        <v>0.5</v>
      </c>
      <c r="I145" s="4">
        <v>6</v>
      </c>
      <c r="L145" s="5">
        <f t="shared" si="141"/>
        <v>0.053120849933598939</v>
      </c>
      <c r="M145" s="5">
        <f t="shared" si="142"/>
        <v>0.020140986908358503</v>
      </c>
      <c r="N145" s="5">
        <f t="shared" si="143"/>
        <v>0.0070528967254408059</v>
      </c>
      <c r="O145" s="5">
        <f t="shared" si="144"/>
        <v>0.252986647926915</v>
      </c>
      <c r="P145" s="5">
        <f t="shared" si="145"/>
        <v>0.029055690072639227</v>
      </c>
      <c r="Q145" s="5">
        <f t="shared" si="146"/>
        <v>0.037300177619893425</v>
      </c>
      <c r="R145" s="5">
        <f t="shared" si="147"/>
        <v>0.046094750320102434</v>
      </c>
      <c r="S145" s="6">
        <f t="shared" si="148"/>
        <v>0.20000000000000001</v>
      </c>
      <c r="T145" s="5">
        <f t="shared" si="149"/>
        <v>0.080718999938368535</v>
      </c>
      <c r="W145" s="5">
        <f>1/AA141</f>
        <v>0.63628519592106669</v>
      </c>
      <c r="X145" s="5">
        <f>1/AA142</f>
        <v>0.39685562107774397</v>
      </c>
      <c r="Y145" s="5">
        <f>1/AA143</f>
        <v>0.72644925057504717</v>
      </c>
      <c r="Z145" s="5">
        <f>1/AA144</f>
        <v>2.8079191898791978</v>
      </c>
      <c r="AA145" s="5">
        <v>1</v>
      </c>
      <c r="AB145" s="5">
        <f>(G145*$T$6)/T146</f>
        <v>0.70596839001329181</v>
      </c>
      <c r="AC145" s="5">
        <f>(H145*$T$6)/T147</f>
        <v>0.35878665586262726</v>
      </c>
      <c r="AD145" s="5">
        <f>(I145*$T$6)/T148</f>
        <v>4.03188454032784</v>
      </c>
      <c r="AG145" s="5">
        <f/>
        <v>1.571622295176035</v>
      </c>
      <c r="AH145" s="5">
        <f/>
        <v>2.5198080785256161</v>
      </c>
      <c r="AI145" s="5">
        <f/>
        <v>1.376558650461011</v>
      </c>
      <c r="AJ145" s="5">
        <f/>
        <v>0.35613560518564003</v>
      </c>
      <c r="AK145" s="5">
        <f/>
        <v>1</v>
      </c>
      <c r="AL145" s="5">
        <f/>
        <v>1.4164940160864321</v>
      </c>
      <c r="AM145" s="5">
        <f/>
        <v>2.787171662211656</v>
      </c>
      <c r="AN145" s="5">
        <f/>
        <v>0.248022975359976</v>
      </c>
      <c r="AR145" s="5">
        <f t="shared" si="150"/>
        <v>2.2079074910971017</v>
      </c>
      <c r="AS145" s="5">
        <f t="shared" si="151"/>
        <v>2.9166636996033599</v>
      </c>
      <c r="AT145" s="5">
        <f t="shared" si="152"/>
        <v>2.1030079010360581</v>
      </c>
      <c r="AU145" s="5">
        <f t="shared" si="153"/>
        <v>3.1640547950648377</v>
      </c>
      <c r="AV145" s="5">
        <f t="shared" si="154"/>
        <v>2</v>
      </c>
      <c r="AW145" s="5">
        <f t="shared" si="155"/>
        <v>2.1224624060997241</v>
      </c>
      <c r="AX145" s="5">
        <f t="shared" si="156"/>
        <v>3.1459583180742832</v>
      </c>
      <c r="AY145" s="5">
        <f t="shared" si="157"/>
        <v>4.2799075156878157</v>
      </c>
    </row>
    <row r="146">
      <c r="B146" s="4">
        <v>0.33333333333333331</v>
      </c>
      <c r="C146" s="4">
        <v>3</v>
      </c>
      <c r="D146" s="4">
        <v>0.14285714285714279</v>
      </c>
      <c r="E146" s="4">
        <v>3</v>
      </c>
      <c r="F146" s="4">
        <v>1</v>
      </c>
      <c r="G146" s="4">
        <v>1</v>
      </c>
      <c r="H146" s="4">
        <v>1</v>
      </c>
      <c r="I146" s="4">
        <v>0.16666666666666671</v>
      </c>
      <c r="L146" s="5">
        <f t="shared" si="141"/>
        <v>0.017706949977866312</v>
      </c>
      <c r="M146" s="5">
        <f t="shared" si="142"/>
        <v>0.42296072507552873</v>
      </c>
      <c r="N146" s="5">
        <f t="shared" si="143"/>
        <v>0.0090680100755667469</v>
      </c>
      <c r="O146" s="5">
        <f t="shared" si="144"/>
        <v>0.18973998594518623</v>
      </c>
      <c r="P146" s="5">
        <f t="shared" si="145"/>
        <v>0.029055690072639227</v>
      </c>
      <c r="Q146" s="5">
        <f t="shared" si="146"/>
        <v>0.037300177619893425</v>
      </c>
      <c r="R146" s="5">
        <f t="shared" si="147"/>
        <v>0.092189500640204869</v>
      </c>
      <c r="S146" s="6">
        <f t="shared" si="148"/>
        <v>0.0055555555555555575</v>
      </c>
      <c r="T146" s="5">
        <f t="shared" si="149"/>
        <v>0.10044707437030514</v>
      </c>
      <c r="W146" s="5">
        <f>1/AB141</f>
        <v>0.2639320211441632</v>
      </c>
      <c r="X146" s="5">
        <f>1/AB142</f>
        <v>1.4815465794338289</v>
      </c>
      <c r="Y146" s="5">
        <f>1/AB143</f>
        <v>0.12914237213486437</v>
      </c>
      <c r="Z146" s="5">
        <f>1/AB144</f>
        <v>2.6206401334285108</v>
      </c>
      <c r="AA146" s="5">
        <f>1/AB145</f>
        <v>1.4164940160864317</v>
      </c>
      <c r="AB146" s="5">
        <v>1</v>
      </c>
      <c r="AC146" s="5">
        <f>(H146*$T$7)/T147</f>
        <v>1.1332991200849283</v>
      </c>
      <c r="AD146" s="5">
        <f>(I146*$T$7)/T148</f>
        <v>0.17688208945862771</v>
      </c>
      <c r="AG146" s="5">
        <f/>
        <v>3.788854401466454</v>
      </c>
      <c r="AH146" s="5">
        <f/>
        <v>0.67497034104870912</v>
      </c>
      <c r="AI146" s="5">
        <f/>
        <v>7.7433919128858211</v>
      </c>
      <c r="AJ146" s="5">
        <f/>
        <v>0.38158615799404999</v>
      </c>
      <c r="AK146" s="5">
        <f/>
        <v>0.70596839001329181</v>
      </c>
      <c r="AL146" s="5">
        <f/>
        <v>1</v>
      </c>
      <c r="AM146" s="5">
        <f/>
        <v>0.88237957859268523</v>
      </c>
      <c r="AN146" s="5">
        <f/>
        <v>5.6534836458605833</v>
      </c>
      <c r="AR146" s="5">
        <f t="shared" si="150"/>
        <v>4.0527864226106169</v>
      </c>
      <c r="AS146" s="5">
        <f t="shared" si="151"/>
        <v>2.1565169204825381</v>
      </c>
      <c r="AT146" s="5">
        <f t="shared" si="152"/>
        <v>7.8725342850206852</v>
      </c>
      <c r="AU146" s="5">
        <f t="shared" si="153"/>
        <v>3.0022262914225606</v>
      </c>
      <c r="AV146" s="5">
        <f t="shared" si="154"/>
        <v>2.1224624060997233</v>
      </c>
      <c r="AW146" s="5">
        <f t="shared" si="155"/>
        <v>2</v>
      </c>
      <c r="AX146" s="5">
        <f t="shared" si="156"/>
        <v>2.0156786986776134</v>
      </c>
      <c r="AY146" s="5">
        <f t="shared" si="157"/>
        <v>5.8303657353192113</v>
      </c>
    </row>
    <row r="147">
      <c r="B147" s="4">
        <v>9</v>
      </c>
      <c r="C147" s="4">
        <v>0.20000000000000001</v>
      </c>
      <c r="D147" s="4">
        <v>0.5</v>
      </c>
      <c r="E147" s="4">
        <v>0.5</v>
      </c>
      <c r="F147" s="4">
        <v>2</v>
      </c>
      <c r="G147" s="4">
        <v>1</v>
      </c>
      <c r="H147" s="4">
        <v>1</v>
      </c>
      <c r="I147" s="4">
        <v>1</v>
      </c>
      <c r="L147" s="5">
        <f t="shared" si="141"/>
        <v>0.47808764940239046</v>
      </c>
      <c r="M147" s="5">
        <f t="shared" si="142"/>
        <v>0.028197381671701917</v>
      </c>
      <c r="N147" s="5">
        <f t="shared" si="143"/>
        <v>0.031738035264483627</v>
      </c>
      <c r="O147" s="5">
        <f t="shared" si="144"/>
        <v>0.031623330990864375</v>
      </c>
      <c r="P147" s="5">
        <f t="shared" si="145"/>
        <v>0.058111380145278453</v>
      </c>
      <c r="Q147" s="5">
        <f t="shared" si="146"/>
        <v>0.037300177619893425</v>
      </c>
      <c r="R147" s="5">
        <f t="shared" si="147"/>
        <v>0.092189500640204869</v>
      </c>
      <c r="S147" s="6">
        <f t="shared" si="148"/>
        <v>0.033333333333333333</v>
      </c>
      <c r="T147" s="5">
        <f t="shared" si="149"/>
        <v>0.098822598633518818</v>
      </c>
      <c r="W147" s="5">
        <f>1/AC141</f>
        <v>7.0109169988318776</v>
      </c>
      <c r="X147" s="5">
        <f>1/AC142</f>
        <v>0.097172422322293672</v>
      </c>
      <c r="Y147" s="5">
        <f>1/AC143</f>
        <v>0.44468838050528381</v>
      </c>
      <c r="Z147" s="5">
        <f>1/AC144</f>
        <v>0.42970965836521818</v>
      </c>
      <c r="AA147" s="5">
        <f>1/AC145</f>
        <v>2.7871716622116556</v>
      </c>
      <c r="AB147" s="5">
        <f>1/AC146</f>
        <v>0.88237957859268523</v>
      </c>
      <c r="AC147" s="5">
        <v>1</v>
      </c>
      <c r="AD147" s="5">
        <f>(I147*T147)/T148</f>
        <v>0.93646286134258505</v>
      </c>
      <c r="AG147" s="5">
        <f/>
        <v>0.14263469388763481</v>
      </c>
      <c r="AH147" s="5">
        <f/>
        <v>10.29098561198033</v>
      </c>
      <c r="AI147" s="5">
        <f/>
        <v>2.248765751117074</v>
      </c>
      <c r="AJ147" s="5">
        <f/>
        <v>2.327152719360293</v>
      </c>
      <c r="AK147" s="5">
        <f/>
        <v>0.35878665586262731</v>
      </c>
      <c r="AL147" s="5">
        <f/>
        <v>1.1332991200849281</v>
      </c>
      <c r="AM147" s="5">
        <f/>
        <v>1</v>
      </c>
      <c r="AN147" s="5">
        <f/>
        <v>1.0678480068780549</v>
      </c>
      <c r="AR147" s="5">
        <f t="shared" si="150"/>
        <v>7.1535516927195122</v>
      </c>
      <c r="AS147" s="13">
        <f t="shared" si="151"/>
        <v>10.388158034302624</v>
      </c>
      <c r="AT147" s="5">
        <f t="shared" si="152"/>
        <v>2.6934541316223579</v>
      </c>
      <c r="AU147" s="5">
        <f t="shared" si="153"/>
        <v>2.7568623777255112</v>
      </c>
      <c r="AV147" s="5">
        <f t="shared" si="154"/>
        <v>3.1459583180742827</v>
      </c>
      <c r="AW147" s="5">
        <f t="shared" si="155"/>
        <v>2.0156786986776134</v>
      </c>
      <c r="AX147" s="5">
        <f t="shared" si="156"/>
        <v>2</v>
      </c>
      <c r="AY147" s="5">
        <f t="shared" si="157"/>
        <v>2.0043108682206401</v>
      </c>
    </row>
    <row r="148">
      <c r="B148" s="10">
        <v>0.20000000000000001</v>
      </c>
      <c r="C148" s="10">
        <v>2</v>
      </c>
      <c r="D148" s="10">
        <v>3</v>
      </c>
      <c r="E148" s="10">
        <v>0.1111111111111111</v>
      </c>
      <c r="F148" s="10">
        <v>0.16666666666666671</v>
      </c>
      <c r="G148" s="10">
        <v>6</v>
      </c>
      <c r="H148" s="10">
        <v>1</v>
      </c>
      <c r="I148" s="10">
        <v>1</v>
      </c>
      <c r="L148" s="5">
        <f t="shared" si="141"/>
        <v>0.010624169986719788</v>
      </c>
      <c r="M148" s="5">
        <f t="shared" si="142"/>
        <v>0.28197381671701915</v>
      </c>
      <c r="N148" s="5">
        <f t="shared" si="143"/>
        <v>0.19042821158690176</v>
      </c>
      <c r="O148" s="5">
        <f t="shared" si="144"/>
        <v>0.0070274068868587496</v>
      </c>
      <c r="P148" s="5">
        <f t="shared" si="145"/>
        <v>0.0048426150121065395</v>
      </c>
      <c r="Q148" s="5">
        <f t="shared" si="146"/>
        <v>0.22380106571936056</v>
      </c>
      <c r="R148" s="5">
        <f t="shared" si="147"/>
        <v>0.092189500640204869</v>
      </c>
      <c r="S148" s="6">
        <f t="shared" si="148"/>
        <v>0.033333333333333333</v>
      </c>
      <c r="T148" s="5">
        <f t="shared" si="149"/>
        <v>0.10552751498531308</v>
      </c>
      <c r="W148" s="5">
        <f>1/AD141</f>
        <v>0.16636874985755767</v>
      </c>
      <c r="X148" s="5">
        <f>1/AD142</f>
        <v>1.0376537750037393</v>
      </c>
      <c r="Y148" s="5">
        <f>1/AD143</f>
        <v>2.8491576048263854</v>
      </c>
      <c r="Z148" s="5">
        <f>1/AD144</f>
        <v>0.10196991160478849</v>
      </c>
      <c r="AA148" s="5">
        <f>1/AD145</f>
        <v>0.248022975359976</v>
      </c>
      <c r="AB148" s="5">
        <f>1/AD146</f>
        <v>5.6534836458605806</v>
      </c>
      <c r="AC148" s="5">
        <f>1/AD147</f>
        <v>1.0678480068780551</v>
      </c>
      <c r="AD148" s="5">
        <v>1</v>
      </c>
      <c r="AG148" s="5">
        <f/>
        <v>6.01074421041322</v>
      </c>
      <c r="AH148" s="5">
        <f/>
        <v>0.96371258322304698</v>
      </c>
      <c r="AI148" s="5">
        <f/>
        <v>0.35098093496338378</v>
      </c>
      <c r="AJ148" s="5">
        <f/>
        <v>9.8068144245899305</v>
      </c>
      <c r="AK148" s="5">
        <f/>
        <v>4.03188454032784</v>
      </c>
      <c r="AL148" s="5">
        <f/>
        <v>0.1768820894586276</v>
      </c>
      <c r="AM148" s="5">
        <f/>
        <v>0.93646286134258505</v>
      </c>
      <c r="AN148" s="5">
        <f/>
        <v>1</v>
      </c>
      <c r="AR148" s="5">
        <f t="shared" si="150"/>
        <v>6.1771129602707777</v>
      </c>
      <c r="AS148" s="5">
        <f t="shared" si="151"/>
        <v>2.0013663582267864</v>
      </c>
      <c r="AT148" s="5">
        <f t="shared" si="152"/>
        <v>3.2001385397897693</v>
      </c>
      <c r="AU148" s="5">
        <f t="shared" si="153"/>
        <v>9.908784336194719</v>
      </c>
      <c r="AV148" s="5">
        <f t="shared" si="154"/>
        <v>4.2799075156878157</v>
      </c>
      <c r="AW148" s="5">
        <f t="shared" si="155"/>
        <v>5.8303657353192087</v>
      </c>
      <c r="AX148" s="5">
        <f t="shared" si="156"/>
        <v>2.0043108682206401</v>
      </c>
      <c r="AY148" s="5">
        <f t="shared" si="157"/>
        <v>2</v>
      </c>
    </row>
    <row r="149">
      <c r="A149" s="2" t="s">
        <v>6</v>
      </c>
      <c r="B149" s="11">
        <f>SUM(B141:B148)</f>
        <v>19.699999999999999</v>
      </c>
      <c r="C149" s="11">
        <f>SUM(C141:C148)</f>
        <v>7.9261904761904765</v>
      </c>
      <c r="D149" s="11">
        <f>SUM(D141:D148)</f>
        <v>15.753968253968253</v>
      </c>
      <c r="E149" s="11">
        <f>SUM(E141:E148)</f>
        <v>10.81111111111111</v>
      </c>
      <c r="F149" s="11">
        <f>SUM(F141:F148)</f>
        <v>7.416666666666667</v>
      </c>
      <c r="G149" s="11">
        <f>SUM(G141:G148)</f>
        <v>19.666666666666668</v>
      </c>
      <c r="H149" s="11">
        <f>SUM(H141:H148)</f>
        <v>12.611111111111111</v>
      </c>
      <c r="I149" s="11">
        <f>SUM(I141:I148)</f>
        <v>23</v>
      </c>
    </row>
    <row r="151">
      <c r="B151" s="2" t="s">
        <v>7</v>
      </c>
      <c r="C151" s="2">
        <f>B149*T141+C149*T142+D149*T143+E149*T144+F149*T145+G149*T146+H149*T147+I149*T148</f>
        <v>12.066596504933514</v>
      </c>
    </row>
    <row r="152">
      <c r="B152" s="2" t="s">
        <v>8</v>
      </c>
      <c r="C152" s="2">
        <f>(C151-8)/7</f>
        <v>0.58094235784764492</v>
      </c>
    </row>
    <row r="153">
      <c r="B153" s="2" t="s">
        <v>9</v>
      </c>
      <c r="C153" s="2">
        <f>C152/1.41</f>
        <v>0.41201585662953544</v>
      </c>
    </row>
    <row r="157">
      <c r="A157" s="2" t="s">
        <v>28</v>
      </c>
    </row>
    <row r="158">
      <c r="T158" s="12" t="s">
        <v>3</v>
      </c>
    </row>
    <row r="159">
      <c r="B159" s="4">
        <v>1</v>
      </c>
      <c r="C159" s="4">
        <v>0.33333333333333331</v>
      </c>
      <c r="D159" s="4">
        <v>6</v>
      </c>
      <c r="E159" s="4">
        <v>0.20000000000000001</v>
      </c>
      <c r="F159" s="4">
        <v>1</v>
      </c>
      <c r="G159" s="4">
        <v>3</v>
      </c>
      <c r="H159" s="4">
        <v>0.1111111111111111</v>
      </c>
      <c r="I159" s="4">
        <v>5</v>
      </c>
      <c r="L159" s="5">
        <f t="shared" si="141"/>
        <v>0.053120849933598939</v>
      </c>
      <c r="M159" s="5">
        <f t="shared" si="142"/>
        <v>0.046995636119503185</v>
      </c>
      <c r="N159" s="5">
        <f t="shared" si="143"/>
        <v>0.38085642317380353</v>
      </c>
      <c r="O159" s="5">
        <f t="shared" si="144"/>
        <v>0.012649332396345751</v>
      </c>
      <c r="P159" s="5">
        <f t="shared" si="145"/>
        <v>0.029055690072639227</v>
      </c>
      <c r="Q159" s="5">
        <f t="shared" si="146"/>
        <v>0.11190053285968028</v>
      </c>
      <c r="R159" s="5">
        <f t="shared" si="147"/>
        <v>0.010243277848911651</v>
      </c>
      <c r="S159" s="6">
        <f t="shared" si="148"/>
        <v>0.16666666666666666</v>
      </c>
      <c r="T159" s="5">
        <f t="shared" si="149"/>
        <v>0.10143605113389365</v>
      </c>
      <c r="W159" s="5">
        <v>1</v>
      </c>
      <c r="X159" s="5">
        <f>(C159*$T$2)/T160</f>
        <v>0.4405738908173607</v>
      </c>
      <c r="Y159" s="5">
        <f>(D159*$T$2)/T161</f>
        <v>9.2757774450484671</v>
      </c>
      <c r="Z159" s="5">
        <f>(E159*$T$2)/T162</f>
        <v>0.19565988436233486</v>
      </c>
      <c r="AA159" s="5">
        <f>(F159*$T$2)/T163</f>
        <v>1.571622295176035</v>
      </c>
      <c r="AB159" s="5">
        <f>(G159*$T$2)/T164</f>
        <v>3.7888544014664545</v>
      </c>
      <c r="AC159" s="5">
        <f>(H159*$T$2)/T165</f>
        <v>0.12482616140418772</v>
      </c>
      <c r="AD159" s="5">
        <f>(I159*$T$2)/T166</f>
        <v>6.01074421041322</v>
      </c>
      <c r="AG159" s="5">
        <f t="array" ref="AG159:AN166">TRANSPOSE(W159:AD166)</f>
        <v>1</v>
      </c>
      <c r="AH159" s="5">
        <f/>
        <v>2.2697668219621039</v>
      </c>
      <c r="AI159" s="5">
        <f/>
        <v>0.10780767498187591</v>
      </c>
      <c r="AJ159" s="5">
        <f/>
        <v>5.1109096954597968</v>
      </c>
      <c r="AK159" s="5">
        <f/>
        <v>0.63628519592106669</v>
      </c>
      <c r="AL159" s="5">
        <f/>
        <v>0.2639320211441632</v>
      </c>
      <c r="AM159" s="5">
        <f/>
        <v>8.0111411642467729</v>
      </c>
      <c r="AN159" s="5">
        <f/>
        <v>0.1663687498575577</v>
      </c>
      <c r="AR159" s="5">
        <f t="shared" si="150"/>
        <v>2</v>
      </c>
      <c r="AS159" s="5">
        <f t="shared" si="151"/>
        <v>2.7103407127794648</v>
      </c>
      <c r="AT159" s="5">
        <f t="shared" si="152"/>
        <v>9.3835851200303431</v>
      </c>
      <c r="AU159" s="5">
        <f t="shared" si="153"/>
        <v>5.3065695798221313</v>
      </c>
      <c r="AV159" s="5">
        <f t="shared" si="154"/>
        <v>2.2079074910971017</v>
      </c>
      <c r="AW159" s="5">
        <f t="shared" si="155"/>
        <v>4.0527864226106178</v>
      </c>
      <c r="AX159" s="5">
        <f t="shared" si="156"/>
        <v>8.1359673256509613</v>
      </c>
      <c r="AY159" s="5">
        <f t="shared" si="157"/>
        <v>6.1771129602707777</v>
      </c>
    </row>
    <row r="160">
      <c r="B160" s="4">
        <v>3</v>
      </c>
      <c r="C160" s="4">
        <v>1</v>
      </c>
      <c r="D160" s="4">
        <v>4</v>
      </c>
      <c r="E160" s="4">
        <v>1</v>
      </c>
      <c r="F160" s="4">
        <v>1</v>
      </c>
      <c r="G160" s="4">
        <v>0.33333333333333331</v>
      </c>
      <c r="H160" s="4">
        <v>1</v>
      </c>
      <c r="I160" s="4">
        <v>0.5</v>
      </c>
      <c r="L160" s="5">
        <f t="shared" si="141"/>
        <v>0.15936254980079681</v>
      </c>
      <c r="M160" s="5">
        <f t="shared" si="142"/>
        <v>0.14098690835850958</v>
      </c>
      <c r="N160" s="5">
        <f t="shared" si="143"/>
        <v>0.25390428211586902</v>
      </c>
      <c r="O160" s="5">
        <f t="shared" si="144"/>
        <v>0.06324666198172875</v>
      </c>
      <c r="P160" s="5">
        <f t="shared" si="145"/>
        <v>0.029055690072639227</v>
      </c>
      <c r="Q160" s="5">
        <f t="shared" si="146"/>
        <v>0.012433392539964476</v>
      </c>
      <c r="R160" s="5">
        <f t="shared" si="147"/>
        <v>0.092189500640204869</v>
      </c>
      <c r="S160" s="6">
        <f t="shared" si="148"/>
        <v>0.016666666666666666</v>
      </c>
      <c r="T160" s="5">
        <f t="shared" si="149"/>
        <v>0.095980706522047418</v>
      </c>
      <c r="W160" s="5">
        <f>1/X159</f>
        <v>2.2697668219621043</v>
      </c>
      <c r="X160" s="5">
        <v>1</v>
      </c>
      <c r="Y160" s="5">
        <f>(D160*$T$3)/T161</f>
        <v>9.9146718276950185</v>
      </c>
      <c r="Z160" s="5">
        <f>(E160*$T$3)/T162</f>
        <v>1.5685236801898901</v>
      </c>
      <c r="AA160" s="5">
        <f>(F160*$T$3)/T163</f>
        <v>2.5198080785256161</v>
      </c>
      <c r="AB160" s="5">
        <f>(G160*$T$3)/T164</f>
        <v>0.67497034104870912</v>
      </c>
      <c r="AC160" s="5">
        <f>(H160*$T$3)/T165</f>
        <v>1.8012226843227965</v>
      </c>
      <c r="AD160" s="5">
        <f>(I160*$T$3)/T166</f>
        <v>0.96371258322304698</v>
      </c>
      <c r="AG160" s="5">
        <f/>
        <v>0.4405738908173607</v>
      </c>
      <c r="AH160" s="5">
        <f/>
        <v>1</v>
      </c>
      <c r="AI160" s="5">
        <f/>
        <v>0.1008606252812789</v>
      </c>
      <c r="AJ160" s="5">
        <f/>
        <v>0.63754217588792605</v>
      </c>
      <c r="AK160" s="5">
        <f/>
        <v>0.39685562107774403</v>
      </c>
      <c r="AL160" s="5">
        <f/>
        <v>1.4815465794338289</v>
      </c>
      <c r="AM160" s="5">
        <f/>
        <v>0.55517844001391126</v>
      </c>
      <c r="AN160" s="5">
        <f/>
        <v>1.0376537750037389</v>
      </c>
      <c r="AR160" s="5">
        <f t="shared" si="150"/>
        <v>2.7103407127794652</v>
      </c>
      <c r="AS160" s="5">
        <f t="shared" si="151"/>
        <v>2</v>
      </c>
      <c r="AT160" s="13">
        <f t="shared" si="152"/>
        <v>10.015532452976297</v>
      </c>
      <c r="AU160" s="5">
        <f t="shared" si="153"/>
        <v>2.2060658560778164</v>
      </c>
      <c r="AV160" s="5">
        <f t="shared" si="154"/>
        <v>2.9166636996033599</v>
      </c>
      <c r="AW160" s="5">
        <f t="shared" si="155"/>
        <v>2.1565169204825381</v>
      </c>
      <c r="AX160" s="5">
        <f t="shared" si="156"/>
        <v>2.356401124336708</v>
      </c>
      <c r="AY160" s="5">
        <f t="shared" si="157"/>
        <v>2.001366358226786</v>
      </c>
    </row>
    <row r="161">
      <c r="B161" s="4">
        <v>0.16666666666666671</v>
      </c>
      <c r="C161" s="4">
        <v>0.25</v>
      </c>
      <c r="D161" s="4">
        <v>1</v>
      </c>
      <c r="E161" s="4">
        <v>1</v>
      </c>
      <c r="F161" s="4">
        <v>1</v>
      </c>
      <c r="G161" s="4">
        <v>7</v>
      </c>
      <c r="H161" s="4">
        <v>2</v>
      </c>
      <c r="I161" s="4">
        <v>0.33333333333333331</v>
      </c>
      <c r="L161" s="5">
        <f t="shared" si="141"/>
        <v>0.0088534749889331594</v>
      </c>
      <c r="M161" s="5">
        <f t="shared" si="142"/>
        <v>0.035246727089627394</v>
      </c>
      <c r="N161" s="5">
        <f t="shared" si="143"/>
        <v>0.063476070528967254</v>
      </c>
      <c r="O161" s="5">
        <f t="shared" si="144"/>
        <v>0.06324666198172875</v>
      </c>
      <c r="P161" s="5">
        <f t="shared" si="145"/>
        <v>0.029055690072639227</v>
      </c>
      <c r="Q161" s="5">
        <f t="shared" si="146"/>
        <v>0.261101243339254</v>
      </c>
      <c r="R161" s="5">
        <f t="shared" si="147"/>
        <v>0.18437900128040974</v>
      </c>
      <c r="S161" s="6">
        <f t="shared" si="148"/>
        <v>0.01111111111111111</v>
      </c>
      <c r="T161" s="5">
        <f t="shared" si="149"/>
        <v>0.082058747549083821</v>
      </c>
      <c r="W161" s="5">
        <f>1/Y159</f>
        <v>0.10780767498187586</v>
      </c>
      <c r="X161" s="5">
        <f>1/Y160</f>
        <v>0.10086062528127891</v>
      </c>
      <c r="Y161" s="5">
        <v>1</v>
      </c>
      <c r="Z161" s="5">
        <f>(E161*$T$4)/T162</f>
        <v>0.85687670375344593</v>
      </c>
      <c r="AA161" s="5">
        <f>(F161*$T$4)/T163</f>
        <v>1.3765586504610114</v>
      </c>
      <c r="AB161" s="5">
        <f>(G161*$T$4)/T164</f>
        <v>7.7433919128858211</v>
      </c>
      <c r="AC161" s="5">
        <f>(H161*$T$4)/T165</f>
        <v>1.9679980302007301</v>
      </c>
      <c r="AD161" s="5">
        <f>(I161*$T$4)/T166</f>
        <v>0.35098093496338384</v>
      </c>
      <c r="AG161" s="5">
        <f/>
        <v>9.2757774450484671</v>
      </c>
      <c r="AH161" s="5">
        <f/>
        <v>9.9146718276950185</v>
      </c>
      <c r="AI161" s="5">
        <f/>
        <v>1</v>
      </c>
      <c r="AJ161" s="5">
        <f/>
        <v>1.167029043524721</v>
      </c>
      <c r="AK161" s="5">
        <f/>
        <v>0.72644925057504717</v>
      </c>
      <c r="AL161" s="5">
        <f/>
        <v>0.1291423721348644</v>
      </c>
      <c r="AM161" s="5">
        <f/>
        <v>0.50813058989596804</v>
      </c>
      <c r="AN161" s="5">
        <f/>
        <v>2.8491576048263849</v>
      </c>
      <c r="AR161" s="5">
        <f t="shared" si="150"/>
        <v>9.3835851200303431</v>
      </c>
      <c r="AS161" s="13">
        <f t="shared" si="151"/>
        <v>10.015532452976297</v>
      </c>
      <c r="AT161" s="5">
        <f t="shared" si="152"/>
        <v>2</v>
      </c>
      <c r="AU161" s="5">
        <f t="shared" si="153"/>
        <v>2.023905747278167</v>
      </c>
      <c r="AV161" s="5">
        <f t="shared" si="154"/>
        <v>2.1030079010360585</v>
      </c>
      <c r="AW161" s="5">
        <f t="shared" si="155"/>
        <v>7.8725342850206852</v>
      </c>
      <c r="AX161" s="5">
        <f t="shared" si="156"/>
        <v>2.4761286200966981</v>
      </c>
      <c r="AY161" s="5">
        <f t="shared" si="157"/>
        <v>3.2001385397897688</v>
      </c>
    </row>
    <row r="162" ht="18.75" customHeight="1">
      <c r="B162" s="4">
        <v>5</v>
      </c>
      <c r="C162" s="4">
        <v>1</v>
      </c>
      <c r="D162" s="4">
        <v>1</v>
      </c>
      <c r="E162" s="4">
        <v>1</v>
      </c>
      <c r="F162" s="4">
        <v>0.25</v>
      </c>
      <c r="G162" s="4">
        <v>0.33333333333333331</v>
      </c>
      <c r="H162" s="4">
        <v>2</v>
      </c>
      <c r="I162" s="4">
        <v>9</v>
      </c>
      <c r="L162" s="5">
        <f t="shared" si="141"/>
        <v>0.26560424966799467</v>
      </c>
      <c r="M162" s="5">
        <f t="shared" si="142"/>
        <v>0.14098690835850958</v>
      </c>
      <c r="N162" s="5">
        <f t="shared" si="143"/>
        <v>0.063476070528967254</v>
      </c>
      <c r="O162" s="5">
        <f t="shared" si="144"/>
        <v>0.06324666198172875</v>
      </c>
      <c r="P162" s="5">
        <f t="shared" si="145"/>
        <v>0.0072639225181598066</v>
      </c>
      <c r="Q162" s="5">
        <f t="shared" si="146"/>
        <v>0.012433392539964476</v>
      </c>
      <c r="R162" s="5">
        <f t="shared" si="147"/>
        <v>0.18437900128040974</v>
      </c>
      <c r="S162" s="6">
        <f t="shared" si="148"/>
        <v>0.29999999999999999</v>
      </c>
      <c r="T162" s="5">
        <f t="shared" si="149"/>
        <v>0.12967377585946677</v>
      </c>
      <c r="W162" s="5">
        <f>1/Z159</f>
        <v>5.1109096954597968</v>
      </c>
      <c r="X162" s="5">
        <f>1/Z160</f>
        <v>0.63754217588792605</v>
      </c>
      <c r="Y162" s="5">
        <f>1/Z161</f>
        <v>1.1670290435247213</v>
      </c>
      <c r="Z162" s="5">
        <v>1</v>
      </c>
      <c r="AA162" s="5">
        <f>(F162*$T$5)/T163</f>
        <v>0.35613560518563997</v>
      </c>
      <c r="AB162" s="5">
        <f>(G162*$T$5)/T164</f>
        <v>0.38158615799404999</v>
      </c>
      <c r="AC162" s="5">
        <f>(H162*$T$5)/T165</f>
        <v>2.0365980606927589</v>
      </c>
      <c r="AD162" s="5">
        <f>(I162*$T$5)/T166</f>
        <v>9.8068144245899305</v>
      </c>
      <c r="AF162" s="2" t="s">
        <v>4</v>
      </c>
      <c r="AG162" s="5">
        <f/>
        <v>0.19565988436233489</v>
      </c>
      <c r="AH162" s="5">
        <f/>
        <v>1.5685236801898901</v>
      </c>
      <c r="AI162" s="5">
        <f/>
        <v>0.85687670375344593</v>
      </c>
      <c r="AJ162" s="5">
        <f/>
        <v>1</v>
      </c>
      <c r="AK162" s="5">
        <f/>
        <v>2.8079191898791982</v>
      </c>
      <c r="AL162" s="5">
        <f/>
        <v>2.6206401334285112</v>
      </c>
      <c r="AM162" s="5">
        <f/>
        <v>0.49101490338247938</v>
      </c>
      <c r="AN162" s="5">
        <f/>
        <v>0.10196991160478849</v>
      </c>
      <c r="AP162" s="8" t="s">
        <v>5</v>
      </c>
      <c r="AR162" s="5">
        <f t="shared" si="150"/>
        <v>5.3065695798221313</v>
      </c>
      <c r="AS162" s="5">
        <f t="shared" si="151"/>
        <v>2.2060658560778164</v>
      </c>
      <c r="AT162" s="5">
        <f t="shared" si="152"/>
        <v>2.0239057472781674</v>
      </c>
      <c r="AU162" s="5">
        <f t="shared" si="153"/>
        <v>2</v>
      </c>
      <c r="AV162" s="5">
        <f t="shared" si="154"/>
        <v>3.1640547950648381</v>
      </c>
      <c r="AW162" s="5">
        <f t="shared" si="155"/>
        <v>3.002226291422561</v>
      </c>
      <c r="AX162" s="5">
        <f t="shared" si="156"/>
        <v>2.5276129640752383</v>
      </c>
      <c r="AY162" s="5">
        <f t="shared" si="157"/>
        <v>9.908784336194719</v>
      </c>
    </row>
    <row r="163">
      <c r="B163" s="4">
        <v>1</v>
      </c>
      <c r="C163" s="4">
        <v>0.14285714285714279</v>
      </c>
      <c r="D163" s="4">
        <v>0.1111111111111111</v>
      </c>
      <c r="E163" s="4">
        <v>4</v>
      </c>
      <c r="F163" s="4">
        <v>1</v>
      </c>
      <c r="G163" s="4">
        <v>1</v>
      </c>
      <c r="H163" s="4">
        <v>0.5</v>
      </c>
      <c r="I163" s="4">
        <v>6</v>
      </c>
      <c r="L163" s="5">
        <f t="shared" si="141"/>
        <v>0.053120849933598939</v>
      </c>
      <c r="M163" s="5">
        <f t="shared" si="142"/>
        <v>0.020140986908358503</v>
      </c>
      <c r="N163" s="5">
        <f t="shared" si="143"/>
        <v>0.0070528967254408059</v>
      </c>
      <c r="O163" s="5">
        <f t="shared" si="144"/>
        <v>0.252986647926915</v>
      </c>
      <c r="P163" s="5">
        <f t="shared" si="145"/>
        <v>0.029055690072639227</v>
      </c>
      <c r="Q163" s="5">
        <f t="shared" si="146"/>
        <v>0.037300177619893425</v>
      </c>
      <c r="R163" s="5">
        <f t="shared" si="147"/>
        <v>0.046094750320102434</v>
      </c>
      <c r="S163" s="6">
        <f t="shared" si="148"/>
        <v>0.20000000000000001</v>
      </c>
      <c r="T163" s="5">
        <f t="shared" si="149"/>
        <v>0.080718999938368535</v>
      </c>
      <c r="W163" s="5">
        <f>1/AA159</f>
        <v>0.63628519592106669</v>
      </c>
      <c r="X163" s="5">
        <f>1/AA160</f>
        <v>0.39685562107774397</v>
      </c>
      <c r="Y163" s="5">
        <f>1/AA161</f>
        <v>0.72644925057504717</v>
      </c>
      <c r="Z163" s="5">
        <f>1/AA162</f>
        <v>2.8079191898791978</v>
      </c>
      <c r="AA163" s="5">
        <v>1</v>
      </c>
      <c r="AB163" s="5">
        <f>(G163*$T$6)/T164</f>
        <v>0.70596839001329181</v>
      </c>
      <c r="AC163" s="5">
        <f>(H163*$T$6)/T165</f>
        <v>0.31399065538471793</v>
      </c>
      <c r="AD163" s="5">
        <f>(I163*$T$6)/T166</f>
        <v>4.03188454032784</v>
      </c>
      <c r="AG163" s="5">
        <f/>
        <v>1.571622295176035</v>
      </c>
      <c r="AH163" s="5">
        <f/>
        <v>2.5198080785256161</v>
      </c>
      <c r="AI163" s="5">
        <f/>
        <v>1.376558650461011</v>
      </c>
      <c r="AJ163" s="5">
        <f/>
        <v>0.35613560518564003</v>
      </c>
      <c r="AK163" s="5">
        <f/>
        <v>1</v>
      </c>
      <c r="AL163" s="5">
        <f/>
        <v>1.4164940160864321</v>
      </c>
      <c r="AM163" s="5">
        <f/>
        <v>3.184808155436178</v>
      </c>
      <c r="AN163" s="5">
        <f/>
        <v>0.248022975359976</v>
      </c>
      <c r="AR163" s="5">
        <f t="shared" si="150"/>
        <v>2.2079074910971017</v>
      </c>
      <c r="AS163" s="5">
        <f t="shared" si="151"/>
        <v>2.9166636996033599</v>
      </c>
      <c r="AT163" s="5">
        <f t="shared" si="152"/>
        <v>2.1030079010360581</v>
      </c>
      <c r="AU163" s="5">
        <f t="shared" si="153"/>
        <v>3.1640547950648377</v>
      </c>
      <c r="AV163" s="5">
        <f t="shared" si="154"/>
        <v>2</v>
      </c>
      <c r="AW163" s="5">
        <f t="shared" si="155"/>
        <v>2.1224624060997241</v>
      </c>
      <c r="AX163" s="5">
        <f t="shared" si="156"/>
        <v>3.4987988108208961</v>
      </c>
      <c r="AY163" s="5">
        <f t="shared" si="157"/>
        <v>4.2799075156878157</v>
      </c>
    </row>
    <row r="164">
      <c r="B164" s="4">
        <v>0.33333333333333331</v>
      </c>
      <c r="C164" s="4">
        <v>3</v>
      </c>
      <c r="D164" s="4">
        <v>0.14285714285714279</v>
      </c>
      <c r="E164" s="4">
        <v>3</v>
      </c>
      <c r="F164" s="4">
        <v>1</v>
      </c>
      <c r="G164" s="4">
        <v>1</v>
      </c>
      <c r="H164" s="4">
        <v>1</v>
      </c>
      <c r="I164" s="4">
        <v>0.16666666666666671</v>
      </c>
      <c r="L164" s="5">
        <f t="shared" si="141"/>
        <v>0.017706949977866312</v>
      </c>
      <c r="M164" s="5">
        <f t="shared" si="142"/>
        <v>0.42296072507552873</v>
      </c>
      <c r="N164" s="5">
        <f t="shared" si="143"/>
        <v>0.0090680100755667469</v>
      </c>
      <c r="O164" s="5">
        <f t="shared" si="144"/>
        <v>0.18973998594518623</v>
      </c>
      <c r="P164" s="5">
        <f t="shared" si="145"/>
        <v>0.029055690072639227</v>
      </c>
      <c r="Q164" s="5">
        <f t="shared" si="146"/>
        <v>0.037300177619893425</v>
      </c>
      <c r="R164" s="5">
        <f t="shared" si="147"/>
        <v>0.092189500640204869</v>
      </c>
      <c r="S164" s="6">
        <f t="shared" si="148"/>
        <v>0.0055555555555555575</v>
      </c>
      <c r="T164" s="5">
        <f t="shared" si="149"/>
        <v>0.10044707437030514</v>
      </c>
      <c r="W164" s="5">
        <f>1/AB159</f>
        <v>0.2639320211441632</v>
      </c>
      <c r="X164" s="5">
        <f>1/AB160</f>
        <v>1.4815465794338289</v>
      </c>
      <c r="Y164" s="5">
        <f>1/AB161</f>
        <v>0.12914237213486437</v>
      </c>
      <c r="Z164" s="5">
        <f>1/AB162</f>
        <v>2.6206401334285108</v>
      </c>
      <c r="AA164" s="5">
        <f>1/AB163</f>
        <v>1.4164940160864317</v>
      </c>
      <c r="AB164" s="5">
        <v>1</v>
      </c>
      <c r="AC164" s="5">
        <f>(H164*$T$7)/T165</f>
        <v>0.99180202955663244</v>
      </c>
      <c r="AD164" s="5">
        <f>(I164*$T$7)/T166</f>
        <v>0.17688208945862771</v>
      </c>
      <c r="AG164" s="5">
        <f/>
        <v>3.788854401466454</v>
      </c>
      <c r="AH164" s="5">
        <f/>
        <v>0.67497034104870912</v>
      </c>
      <c r="AI164" s="5">
        <f/>
        <v>7.7433919128858211</v>
      </c>
      <c r="AJ164" s="5">
        <f/>
        <v>0.38158615799404999</v>
      </c>
      <c r="AK164" s="5">
        <f/>
        <v>0.70596839001329181</v>
      </c>
      <c r="AL164" s="5">
        <f/>
        <v>1</v>
      </c>
      <c r="AM164" s="5">
        <f/>
        <v>1.008265732675534</v>
      </c>
      <c r="AN164" s="5">
        <f/>
        <v>5.6534836458605833</v>
      </c>
      <c r="AR164" s="5">
        <f t="shared" si="150"/>
        <v>4.0527864226106169</v>
      </c>
      <c r="AS164" s="5">
        <f t="shared" si="151"/>
        <v>2.1565169204825381</v>
      </c>
      <c r="AT164" s="5">
        <f t="shared" si="152"/>
        <v>7.8725342850206852</v>
      </c>
      <c r="AU164" s="5">
        <f t="shared" si="153"/>
        <v>3.0022262914225606</v>
      </c>
      <c r="AV164" s="5">
        <f t="shared" si="154"/>
        <v>2.1224624060997233</v>
      </c>
      <c r="AW164" s="5">
        <f t="shared" si="155"/>
        <v>2</v>
      </c>
      <c r="AX164" s="5">
        <f t="shared" si="156"/>
        <v>2.0000677622321663</v>
      </c>
      <c r="AY164" s="5">
        <f t="shared" si="157"/>
        <v>5.8303657353192113</v>
      </c>
    </row>
    <row r="165">
      <c r="B165" s="4">
        <v>9</v>
      </c>
      <c r="C165" s="4">
        <v>1</v>
      </c>
      <c r="D165" s="4">
        <v>0.5</v>
      </c>
      <c r="E165" s="4">
        <v>0.5</v>
      </c>
      <c r="F165" s="4">
        <v>2</v>
      </c>
      <c r="G165" s="4">
        <v>1</v>
      </c>
      <c r="H165" s="4">
        <v>1</v>
      </c>
      <c r="I165" s="4">
        <v>1</v>
      </c>
      <c r="L165" s="5">
        <f t="shared" si="141"/>
        <v>0.47808764940239046</v>
      </c>
      <c r="M165" s="5">
        <f t="shared" si="142"/>
        <v>0.14098690835850958</v>
      </c>
      <c r="N165" s="5">
        <f t="shared" si="143"/>
        <v>0.031738035264483627</v>
      </c>
      <c r="O165" s="5">
        <f t="shared" si="144"/>
        <v>0.031623330990864375</v>
      </c>
      <c r="P165" s="5">
        <f t="shared" si="145"/>
        <v>0.058111380145278453</v>
      </c>
      <c r="Q165" s="5">
        <f t="shared" si="146"/>
        <v>0.037300177619893425</v>
      </c>
      <c r="R165" s="5">
        <f t="shared" si="147"/>
        <v>0.092189500640204869</v>
      </c>
      <c r="S165" s="6">
        <f t="shared" si="148"/>
        <v>0.033333333333333333</v>
      </c>
      <c r="T165" s="5">
        <f t="shared" si="149"/>
        <v>0.11292128946936976</v>
      </c>
      <c r="W165" s="5">
        <f>1/AC159</f>
        <v>8.0111411642467729</v>
      </c>
      <c r="X165" s="5">
        <f>1/AC160</f>
        <v>0.55517844001391126</v>
      </c>
      <c r="Y165" s="5">
        <f>1/AC161</f>
        <v>0.50813058989596804</v>
      </c>
      <c r="Z165" s="5">
        <f>1/AC162</f>
        <v>0.49101490338247944</v>
      </c>
      <c r="AA165" s="5">
        <f>1/AC163</f>
        <v>3.1848081554361776</v>
      </c>
      <c r="AB165" s="5">
        <f>1/AC164</f>
        <v>1.0082657326755344</v>
      </c>
      <c r="AC165" s="5">
        <v>1</v>
      </c>
      <c r="AD165" s="5">
        <f>(I165*T165)/T166</f>
        <v>1.0700648971510958</v>
      </c>
      <c r="AG165" s="5">
        <f/>
        <v>0.1248261614041877</v>
      </c>
      <c r="AH165" s="5">
        <f/>
        <v>1.801222684322797</v>
      </c>
      <c r="AI165" s="5">
        <f/>
        <v>1.9679980302007301</v>
      </c>
      <c r="AJ165" s="5">
        <f/>
        <v>2.0365980606927589</v>
      </c>
      <c r="AK165" s="5">
        <f/>
        <v>0.31399065538471788</v>
      </c>
      <c r="AL165" s="5">
        <f/>
        <v>0.99180202955663244</v>
      </c>
      <c r="AM165" s="5">
        <f/>
        <v>1</v>
      </c>
      <c r="AN165" s="5">
        <f/>
        <v>0.93452275900495929</v>
      </c>
      <c r="AR165" s="5">
        <f t="shared" si="150"/>
        <v>8.1359673256509613</v>
      </c>
      <c r="AS165" s="5">
        <f t="shared" si="151"/>
        <v>2.356401124336708</v>
      </c>
      <c r="AT165" s="5">
        <f t="shared" si="152"/>
        <v>2.4761286200966981</v>
      </c>
      <c r="AU165" s="5">
        <f t="shared" si="153"/>
        <v>2.5276129640752383</v>
      </c>
      <c r="AV165" s="5">
        <f t="shared" si="154"/>
        <v>3.4987988108208956</v>
      </c>
      <c r="AW165" s="5">
        <f t="shared" si="155"/>
        <v>2.0000677622321668</v>
      </c>
      <c r="AX165" s="5">
        <f t="shared" si="156"/>
        <v>2</v>
      </c>
      <c r="AY165" s="5">
        <f t="shared" si="157"/>
        <v>2.0045876561560552</v>
      </c>
    </row>
    <row r="166">
      <c r="B166" s="10">
        <v>0.20000000000000001</v>
      </c>
      <c r="C166" s="10">
        <v>2</v>
      </c>
      <c r="D166" s="10">
        <v>3</v>
      </c>
      <c r="E166" s="10">
        <v>0.1111111111111111</v>
      </c>
      <c r="F166" s="10">
        <v>0.16666666666666671</v>
      </c>
      <c r="G166" s="10">
        <v>6</v>
      </c>
      <c r="H166" s="10">
        <v>1</v>
      </c>
      <c r="I166" s="10">
        <v>1</v>
      </c>
      <c r="L166" s="5">
        <f t="shared" si="141"/>
        <v>0.010624169986719788</v>
      </c>
      <c r="M166" s="5">
        <f t="shared" si="142"/>
        <v>0.28197381671701915</v>
      </c>
      <c r="N166" s="5">
        <f t="shared" si="143"/>
        <v>0.19042821158690176</v>
      </c>
      <c r="O166" s="5">
        <f t="shared" si="144"/>
        <v>0.0070274068868587496</v>
      </c>
      <c r="P166" s="5">
        <f t="shared" si="145"/>
        <v>0.0048426150121065395</v>
      </c>
      <c r="Q166" s="5">
        <f t="shared" si="146"/>
        <v>0.22380106571936056</v>
      </c>
      <c r="R166" s="5">
        <f t="shared" si="147"/>
        <v>0.092189500640204869</v>
      </c>
      <c r="S166" s="6">
        <f t="shared" si="148"/>
        <v>0.033333333333333333</v>
      </c>
      <c r="T166" s="5">
        <f t="shared" si="149"/>
        <v>0.10552751498531308</v>
      </c>
      <c r="W166" s="5">
        <f>1/AD159</f>
        <v>0.16636874985755767</v>
      </c>
      <c r="X166" s="5">
        <f>1/AD160</f>
        <v>1.0376537750037393</v>
      </c>
      <c r="Y166" s="5">
        <f>1/AD161</f>
        <v>2.8491576048263854</v>
      </c>
      <c r="Z166" s="5">
        <f>1/AD162</f>
        <v>0.10196991160478849</v>
      </c>
      <c r="AA166" s="5">
        <f>1/AD163</f>
        <v>0.248022975359976</v>
      </c>
      <c r="AB166" s="5">
        <f>1/AD164</f>
        <v>5.6534836458605806</v>
      </c>
      <c r="AC166" s="5">
        <f>1/AD165</f>
        <v>0.93452275900495929</v>
      </c>
      <c r="AD166" s="5">
        <v>1</v>
      </c>
      <c r="AG166" s="5">
        <f/>
        <v>6.01074421041322</v>
      </c>
      <c r="AH166" s="5">
        <f/>
        <v>0.96371258322304698</v>
      </c>
      <c r="AI166" s="5">
        <f/>
        <v>0.35098093496338378</v>
      </c>
      <c r="AJ166" s="5">
        <f/>
        <v>9.8068144245899305</v>
      </c>
      <c r="AK166" s="5">
        <f/>
        <v>4.03188454032784</v>
      </c>
      <c r="AL166" s="5">
        <f/>
        <v>0.1768820894586276</v>
      </c>
      <c r="AM166" s="5">
        <f/>
        <v>1.070064897151096</v>
      </c>
      <c r="AN166" s="5">
        <f/>
        <v>1</v>
      </c>
      <c r="AR166" s="5">
        <f t="shared" si="150"/>
        <v>6.1771129602707777</v>
      </c>
      <c r="AS166" s="5">
        <f t="shared" si="151"/>
        <v>2.0013663582267864</v>
      </c>
      <c r="AT166" s="5">
        <f t="shared" si="152"/>
        <v>3.2001385397897693</v>
      </c>
      <c r="AU166" s="5">
        <f t="shared" si="153"/>
        <v>9.908784336194719</v>
      </c>
      <c r="AV166" s="5">
        <f t="shared" si="154"/>
        <v>4.2799075156878157</v>
      </c>
      <c r="AW166" s="5">
        <f t="shared" si="155"/>
        <v>5.8303657353192087</v>
      </c>
      <c r="AX166" s="5">
        <f t="shared" si="156"/>
        <v>2.0045876561560552</v>
      </c>
      <c r="AY166" s="5">
        <f t="shared" si="157"/>
        <v>2</v>
      </c>
    </row>
    <row r="167">
      <c r="A167" s="2" t="s">
        <v>6</v>
      </c>
      <c r="B167" s="11">
        <f>SUM(B159:B166)</f>
        <v>19.699999999999999</v>
      </c>
      <c r="C167" s="11">
        <f>SUM(C159:C166)</f>
        <v>8.7261904761904763</v>
      </c>
      <c r="D167" s="11">
        <f>SUM(D159:D166)</f>
        <v>15.753968253968253</v>
      </c>
      <c r="E167" s="11">
        <f>SUM(E159:E166)</f>
        <v>10.81111111111111</v>
      </c>
      <c r="F167" s="11">
        <f>SUM(F159:F166)</f>
        <v>7.416666666666667</v>
      </c>
      <c r="G167" s="11">
        <f>SUM(G159:G166)</f>
        <v>19.666666666666668</v>
      </c>
      <c r="H167" s="11">
        <f>SUM(H159:H166)</f>
        <v>8.6111111111111107</v>
      </c>
      <c r="I167" s="11">
        <f>SUM(I159:I166)</f>
        <v>23</v>
      </c>
    </row>
    <row r="169">
      <c r="B169" s="2" t="s">
        <v>7</v>
      </c>
      <c r="C169" s="2">
        <f>B167*T159+C167*T160+D167*T161+E167*T162+F167*T163+G167*T164+H167*T165+I167*T166</f>
        <v>11.504140297936221</v>
      </c>
    </row>
    <row r="170">
      <c r="B170" s="2" t="s">
        <v>8</v>
      </c>
      <c r="C170" s="2">
        <f>(C169-8)/7</f>
        <v>0.50059147113374591</v>
      </c>
    </row>
    <row r="171">
      <c r="B171" s="2" t="s">
        <v>9</v>
      </c>
      <c r="C171" s="2">
        <f>C170/1.41</f>
        <v>0.35502941215159289</v>
      </c>
    </row>
    <row r="176">
      <c r="A176" s="2" t="s">
        <v>29</v>
      </c>
    </row>
    <row r="177">
      <c r="T177" s="12" t="s">
        <v>3</v>
      </c>
    </row>
    <row r="178">
      <c r="B178" s="4">
        <v>1</v>
      </c>
      <c r="C178" s="4">
        <v>0.33333333333333331</v>
      </c>
      <c r="D178" s="4">
        <v>6</v>
      </c>
      <c r="E178" s="4">
        <v>0.20000000000000001</v>
      </c>
      <c r="F178" s="4">
        <v>1</v>
      </c>
      <c r="G178" s="4">
        <v>3</v>
      </c>
      <c r="H178" s="4">
        <v>0.1111111111111111</v>
      </c>
      <c r="I178" s="4">
        <v>5</v>
      </c>
      <c r="L178" s="5">
        <f t="shared" ref="L168:L231" si="158">B178/$B$10</f>
        <v>0.053120849933598939</v>
      </c>
      <c r="M178" s="5">
        <f t="shared" ref="M168:M231" si="159">C178/$C$10</f>
        <v>0.046995636119503185</v>
      </c>
      <c r="N178" s="5">
        <f t="shared" ref="N168:N231" si="160">D178/$D$10</f>
        <v>0.38085642317380353</v>
      </c>
      <c r="O178" s="5">
        <f t="shared" ref="O168:O231" si="161">E178/$E$10</f>
        <v>0.012649332396345751</v>
      </c>
      <c r="P178" s="5">
        <f t="shared" ref="P168:P231" si="162">F178/$F$10</f>
        <v>0.029055690072639227</v>
      </c>
      <c r="Q178" s="5">
        <f t="shared" ref="Q168:Q231" si="163">G178/$G$10</f>
        <v>0.11190053285968028</v>
      </c>
      <c r="R178" s="5">
        <f t="shared" ref="R168:R231" si="164">H178/$H$10</f>
        <v>0.010243277848911651</v>
      </c>
      <c r="S178" s="6">
        <f t="shared" ref="S168:S231" si="165">I178/$I$10</f>
        <v>0.16666666666666666</v>
      </c>
      <c r="T178" s="5">
        <f t="shared" ref="T168:T231" si="166">AVERAGE(L178:S178)</f>
        <v>0.10143605113389365</v>
      </c>
      <c r="W178" s="5">
        <v>1</v>
      </c>
      <c r="X178" s="5">
        <f>(C178*$T$2)/T179</f>
        <v>0.58587206195431651</v>
      </c>
      <c r="Y178" s="5">
        <f>(D178*$T$2)/T180</f>
        <v>7.9889638629373003</v>
      </c>
      <c r="Z178" s="5">
        <f>(E178*$T$2)/T181</f>
        <v>0.19565988436233486</v>
      </c>
      <c r="AA178" s="5">
        <f>(F178*$T$2)/T182</f>
        <v>1.571622295176035</v>
      </c>
      <c r="AB178" s="5">
        <f>(G178*$T$2)/T183</f>
        <v>3.7888544014664545</v>
      </c>
      <c r="AC178" s="5">
        <f>(H178*$T$2)/T184</f>
        <v>0.12482616140418772</v>
      </c>
      <c r="AD178" s="5">
        <f>(I178*$T$2)/T185</f>
        <v>6.01074421041322</v>
      </c>
      <c r="AG178" s="5">
        <f t="array" ref="AG178:AN185">TRANSPOSE(W178:AD185)</f>
        <v>1</v>
      </c>
      <c r="AH178" s="5">
        <f/>
        <v>1.706857290078418</v>
      </c>
      <c r="AI178" s="5">
        <f/>
        <v>0.12517267785366229</v>
      </c>
      <c r="AJ178" s="5">
        <f/>
        <v>5.1109096954597968</v>
      </c>
      <c r="AK178" s="5">
        <f/>
        <v>0.63628519592106669</v>
      </c>
      <c r="AL178" s="5">
        <f/>
        <v>0.2639320211441632</v>
      </c>
      <c r="AM178" s="5">
        <f/>
        <v>8.0111411642467729</v>
      </c>
      <c r="AN178" s="5">
        <f/>
        <v>0.1663687498575577</v>
      </c>
      <c r="AR178" s="5">
        <f t="shared" ref="AR168:AR231" si="167">W178+AG178</f>
        <v>2</v>
      </c>
      <c r="AS178" s="5">
        <f t="shared" ref="AS168:AS231" si="168">X178+AH178</f>
        <v>2.2927293520327345</v>
      </c>
      <c r="AT178" s="5">
        <f t="shared" ref="AT168:AT231" si="169">Y178+AI178</f>
        <v>8.1141365407909625</v>
      </c>
      <c r="AU178" s="5">
        <f t="shared" ref="AU168:AU231" si="170">Z178+AJ178</f>
        <v>5.3065695798221313</v>
      </c>
      <c r="AV178" s="5">
        <f t="shared" ref="AV168:AV231" si="171">AA178+AK178</f>
        <v>2.2079074910971017</v>
      </c>
      <c r="AW178" s="5">
        <f t="shared" ref="AW168:AW231" si="172">AB178+AL178</f>
        <v>4.0527864226106178</v>
      </c>
      <c r="AX178" s="5">
        <f t="shared" ref="AX168:AX231" si="173">AC178+AM178</f>
        <v>8.1359673256509613</v>
      </c>
      <c r="AY178" s="5">
        <f t="shared" ref="AY168:AY231" si="174">AD178+AN178</f>
        <v>6.1771129602707777</v>
      </c>
    </row>
    <row r="179">
      <c r="B179" s="4">
        <v>3</v>
      </c>
      <c r="C179" s="4">
        <v>1</v>
      </c>
      <c r="D179" s="4">
        <v>1</v>
      </c>
      <c r="E179" s="4">
        <v>1</v>
      </c>
      <c r="F179" s="4">
        <v>1</v>
      </c>
      <c r="G179" s="4">
        <v>0.33333333333333331</v>
      </c>
      <c r="H179" s="4">
        <v>1</v>
      </c>
      <c r="I179" s="4">
        <v>0.5</v>
      </c>
      <c r="L179" s="5">
        <f t="shared" si="158"/>
        <v>0.15936254980079681</v>
      </c>
      <c r="M179" s="5">
        <f t="shared" si="159"/>
        <v>0.14098690835850958</v>
      </c>
      <c r="N179" s="5">
        <f t="shared" si="160"/>
        <v>0.063476070528967254</v>
      </c>
      <c r="O179" s="5">
        <f t="shared" si="161"/>
        <v>0.06324666198172875</v>
      </c>
      <c r="P179" s="5">
        <f t="shared" si="162"/>
        <v>0.029055690072639227</v>
      </c>
      <c r="Q179" s="5">
        <f t="shared" si="163"/>
        <v>0.012433392539964476</v>
      </c>
      <c r="R179" s="5">
        <f t="shared" si="164"/>
        <v>0.092189500640204869</v>
      </c>
      <c r="S179" s="6">
        <f t="shared" si="165"/>
        <v>0.016666666666666666</v>
      </c>
      <c r="T179" s="5">
        <f t="shared" si="166"/>
        <v>0.072177180073684705</v>
      </c>
      <c r="W179" s="5">
        <f>1/X178</f>
        <v>1.7068572900784185</v>
      </c>
      <c r="X179" s="5">
        <v>1</v>
      </c>
      <c r="Y179" s="5">
        <f>(D179*$T$3)/T180</f>
        <v>2.1348063656545651</v>
      </c>
      <c r="Z179" s="5">
        <f>(E179*$T$3)/T181</f>
        <v>1.5685236801898901</v>
      </c>
      <c r="AA179" s="5">
        <f>(F179*$T$3)/T182</f>
        <v>2.5198080785256161</v>
      </c>
      <c r="AB179" s="5">
        <f>(G179*$T$3)/T183</f>
        <v>0.67497034104870912</v>
      </c>
      <c r="AC179" s="5">
        <f>(H179*$T$3)/T184</f>
        <v>1.8012226843227965</v>
      </c>
      <c r="AD179" s="5">
        <f>(I179*$T$3)/T185</f>
        <v>0.96371258322304698</v>
      </c>
      <c r="AG179" s="5">
        <f/>
        <v>0.58587206195431651</v>
      </c>
      <c r="AH179" s="5">
        <f/>
        <v>1</v>
      </c>
      <c r="AI179" s="5">
        <f/>
        <v>0.46842655900240598</v>
      </c>
      <c r="AJ179" s="5">
        <f/>
        <v>0.63754217588792605</v>
      </c>
      <c r="AK179" s="5">
        <f/>
        <v>0.39685562107774403</v>
      </c>
      <c r="AL179" s="5">
        <f/>
        <v>1.4815465794338289</v>
      </c>
      <c r="AM179" s="5">
        <f/>
        <v>0.55517844001391126</v>
      </c>
      <c r="AN179" s="5">
        <f/>
        <v>1.0376537750037389</v>
      </c>
      <c r="AR179" s="5">
        <f t="shared" si="167"/>
        <v>2.292729352032735</v>
      </c>
      <c r="AS179" s="5">
        <f t="shared" si="168"/>
        <v>2</v>
      </c>
      <c r="AT179" s="5">
        <f t="shared" si="169"/>
        <v>2.6032329246569712</v>
      </c>
      <c r="AU179" s="5">
        <f t="shared" si="170"/>
        <v>2.2060658560778164</v>
      </c>
      <c r="AV179" s="5">
        <f t="shared" si="171"/>
        <v>2.9166636996033599</v>
      </c>
      <c r="AW179" s="5">
        <f t="shared" si="172"/>
        <v>2.1565169204825381</v>
      </c>
      <c r="AX179" s="5">
        <f t="shared" si="173"/>
        <v>2.356401124336708</v>
      </c>
      <c r="AY179" s="5">
        <f t="shared" si="174"/>
        <v>2.001366358226786</v>
      </c>
    </row>
    <row r="180">
      <c r="B180" s="4">
        <v>0.16666666666666671</v>
      </c>
      <c r="C180" s="4">
        <v>1</v>
      </c>
      <c r="D180" s="4">
        <v>1</v>
      </c>
      <c r="E180" s="4">
        <v>1</v>
      </c>
      <c r="F180" s="4">
        <v>1</v>
      </c>
      <c r="G180" s="4">
        <v>7</v>
      </c>
      <c r="H180" s="4">
        <v>2</v>
      </c>
      <c r="I180" s="4">
        <v>0.33333333333333331</v>
      </c>
      <c r="L180" s="5">
        <f t="shared" si="158"/>
        <v>0.0088534749889331594</v>
      </c>
      <c r="M180" s="5">
        <f t="shared" si="159"/>
        <v>0.14098690835850958</v>
      </c>
      <c r="N180" s="5">
        <f t="shared" si="160"/>
        <v>0.063476070528967254</v>
      </c>
      <c r="O180" s="5">
        <f t="shared" si="161"/>
        <v>0.06324666198172875</v>
      </c>
      <c r="P180" s="5">
        <f t="shared" si="162"/>
        <v>0.029055690072639227</v>
      </c>
      <c r="Q180" s="5">
        <f t="shared" si="163"/>
        <v>0.261101243339254</v>
      </c>
      <c r="R180" s="5">
        <f t="shared" si="164"/>
        <v>0.18437900128040974</v>
      </c>
      <c r="S180" s="6">
        <f t="shared" si="165"/>
        <v>0.01111111111111111</v>
      </c>
      <c r="T180" s="5">
        <f t="shared" si="166"/>
        <v>0.095276270207694094</v>
      </c>
      <c r="W180" s="5">
        <f>1/Y178</f>
        <v>0.12517267785366226</v>
      </c>
      <c r="X180" s="5">
        <f>1/Y179</f>
        <v>0.46842655900240598</v>
      </c>
      <c r="Y180" s="5">
        <v>1</v>
      </c>
      <c r="Z180" s="5">
        <f>(E180*$T$4)/T181</f>
        <v>0.85687670375344593</v>
      </c>
      <c r="AA180" s="5">
        <f>(F180*$T$4)/T182</f>
        <v>1.3765586504610114</v>
      </c>
      <c r="AB180" s="5">
        <f>(G180*$T$4)/T183</f>
        <v>7.7433919128858211</v>
      </c>
      <c r="AC180" s="5">
        <f>(H180*$T$4)/T184</f>
        <v>1.9679980302007301</v>
      </c>
      <c r="AD180" s="5">
        <f>(I180*$T$4)/T185</f>
        <v>0.35098093496338384</v>
      </c>
      <c r="AG180" s="5">
        <f/>
        <v>7.9889638629373003</v>
      </c>
      <c r="AH180" s="5">
        <f/>
        <v>2.1348063656545651</v>
      </c>
      <c r="AI180" s="5">
        <f/>
        <v>1</v>
      </c>
      <c r="AJ180" s="5">
        <f/>
        <v>1.167029043524721</v>
      </c>
      <c r="AK180" s="5">
        <f/>
        <v>0.72644925057504717</v>
      </c>
      <c r="AL180" s="5">
        <f/>
        <v>0.1291423721348644</v>
      </c>
      <c r="AM180" s="5">
        <f/>
        <v>0.50813058989596804</v>
      </c>
      <c r="AN180" s="5">
        <f/>
        <v>2.8491576048263849</v>
      </c>
      <c r="AR180" s="5">
        <f t="shared" si="167"/>
        <v>8.1141365407909625</v>
      </c>
      <c r="AS180" s="5">
        <f t="shared" si="168"/>
        <v>2.6032329246569712</v>
      </c>
      <c r="AT180" s="5">
        <f t="shared" si="169"/>
        <v>2</v>
      </c>
      <c r="AU180" s="5">
        <f t="shared" si="170"/>
        <v>2.023905747278167</v>
      </c>
      <c r="AV180" s="5">
        <f t="shared" si="171"/>
        <v>2.1030079010360585</v>
      </c>
      <c r="AW180" s="5">
        <f t="shared" si="172"/>
        <v>7.8725342850206852</v>
      </c>
      <c r="AX180" s="5">
        <f t="shared" si="173"/>
        <v>2.4761286200966981</v>
      </c>
      <c r="AY180" s="5">
        <f t="shared" si="174"/>
        <v>3.2001385397897688</v>
      </c>
    </row>
    <row r="181" ht="18.75" customHeight="1">
      <c r="B181" s="4">
        <v>5</v>
      </c>
      <c r="C181" s="4">
        <v>1</v>
      </c>
      <c r="D181" s="4">
        <v>1</v>
      </c>
      <c r="E181" s="4">
        <v>1</v>
      </c>
      <c r="F181" s="4">
        <v>0.25</v>
      </c>
      <c r="G181" s="4">
        <v>0.33333333333333331</v>
      </c>
      <c r="H181" s="4">
        <v>2</v>
      </c>
      <c r="I181" s="4">
        <v>9</v>
      </c>
      <c r="L181" s="5">
        <f t="shared" si="158"/>
        <v>0.26560424966799467</v>
      </c>
      <c r="M181" s="5">
        <f t="shared" si="159"/>
        <v>0.14098690835850958</v>
      </c>
      <c r="N181" s="5">
        <f t="shared" si="160"/>
        <v>0.063476070528967254</v>
      </c>
      <c r="O181" s="5">
        <f t="shared" si="161"/>
        <v>0.06324666198172875</v>
      </c>
      <c r="P181" s="5">
        <f t="shared" si="162"/>
        <v>0.0072639225181598066</v>
      </c>
      <c r="Q181" s="5">
        <f t="shared" si="163"/>
        <v>0.012433392539964476</v>
      </c>
      <c r="R181" s="5">
        <f t="shared" si="164"/>
        <v>0.18437900128040974</v>
      </c>
      <c r="S181" s="6">
        <f t="shared" si="165"/>
        <v>0.29999999999999999</v>
      </c>
      <c r="T181" s="5">
        <f t="shared" si="166"/>
        <v>0.12967377585946677</v>
      </c>
      <c r="W181" s="5">
        <f>1/Z178</f>
        <v>5.1109096954597968</v>
      </c>
      <c r="X181" s="5">
        <f>1/Z179</f>
        <v>0.63754217588792605</v>
      </c>
      <c r="Y181" s="5">
        <f>1/Z180</f>
        <v>1.1670290435247213</v>
      </c>
      <c r="Z181" s="5">
        <v>1</v>
      </c>
      <c r="AA181" s="5">
        <f>(F181*$T$5)/T182</f>
        <v>0.35613560518563997</v>
      </c>
      <c r="AB181" s="5">
        <f>(G181*$T$5)/T183</f>
        <v>0.38158615799404999</v>
      </c>
      <c r="AC181" s="5">
        <f>(H181*$T$5)/T184</f>
        <v>2.0365980606927589</v>
      </c>
      <c r="AD181" s="5">
        <f>(I181*$T$5)/T185</f>
        <v>9.8068144245899305</v>
      </c>
      <c r="AF181" s="2" t="s">
        <v>4</v>
      </c>
      <c r="AG181" s="5">
        <f/>
        <v>0.19565988436233489</v>
      </c>
      <c r="AH181" s="5">
        <f/>
        <v>1.5685236801898901</v>
      </c>
      <c r="AI181" s="5">
        <f/>
        <v>0.85687670375344593</v>
      </c>
      <c r="AJ181" s="5">
        <f/>
        <v>1</v>
      </c>
      <c r="AK181" s="5">
        <f/>
        <v>2.8079191898791982</v>
      </c>
      <c r="AL181" s="5">
        <f/>
        <v>2.6206401334285112</v>
      </c>
      <c r="AM181" s="5">
        <f/>
        <v>0.49101490338247938</v>
      </c>
      <c r="AN181" s="5">
        <f/>
        <v>0.10196991160478849</v>
      </c>
      <c r="AP181" s="8" t="s">
        <v>5</v>
      </c>
      <c r="AR181" s="5">
        <f t="shared" si="167"/>
        <v>5.3065695798221313</v>
      </c>
      <c r="AS181" s="5">
        <f t="shared" si="168"/>
        <v>2.2060658560778164</v>
      </c>
      <c r="AT181" s="5">
        <f t="shared" si="169"/>
        <v>2.0239057472781674</v>
      </c>
      <c r="AU181" s="5">
        <f t="shared" si="170"/>
        <v>2</v>
      </c>
      <c r="AV181" s="5">
        <f t="shared" si="171"/>
        <v>3.1640547950648381</v>
      </c>
      <c r="AW181" s="5">
        <f t="shared" si="172"/>
        <v>3.002226291422561</v>
      </c>
      <c r="AX181" s="5">
        <f t="shared" si="173"/>
        <v>2.5276129640752383</v>
      </c>
      <c r="AY181" s="13">
        <f t="shared" si="174"/>
        <v>9.908784336194719</v>
      </c>
    </row>
    <row r="182">
      <c r="B182" s="4">
        <v>1</v>
      </c>
      <c r="C182" s="4">
        <v>0.14285714285714279</v>
      </c>
      <c r="D182" s="4">
        <v>0.1111111111111111</v>
      </c>
      <c r="E182" s="4">
        <v>4</v>
      </c>
      <c r="F182" s="4">
        <v>1</v>
      </c>
      <c r="G182" s="4">
        <v>1</v>
      </c>
      <c r="H182" s="4">
        <v>0.5</v>
      </c>
      <c r="I182" s="4">
        <v>6</v>
      </c>
      <c r="L182" s="5">
        <f t="shared" si="158"/>
        <v>0.053120849933598939</v>
      </c>
      <c r="M182" s="5">
        <f t="shared" si="159"/>
        <v>0.020140986908358503</v>
      </c>
      <c r="N182" s="5">
        <f t="shared" si="160"/>
        <v>0.0070528967254408059</v>
      </c>
      <c r="O182" s="5">
        <f t="shared" si="161"/>
        <v>0.252986647926915</v>
      </c>
      <c r="P182" s="5">
        <f t="shared" si="162"/>
        <v>0.029055690072639227</v>
      </c>
      <c r="Q182" s="5">
        <f t="shared" si="163"/>
        <v>0.037300177619893425</v>
      </c>
      <c r="R182" s="5">
        <f t="shared" si="164"/>
        <v>0.046094750320102434</v>
      </c>
      <c r="S182" s="6">
        <f t="shared" si="165"/>
        <v>0.20000000000000001</v>
      </c>
      <c r="T182" s="5">
        <f t="shared" si="166"/>
        <v>0.080718999938368535</v>
      </c>
      <c r="W182" s="5">
        <f>1/AA178</f>
        <v>0.63628519592106669</v>
      </c>
      <c r="X182" s="5">
        <f>1/AA179</f>
        <v>0.39685562107774397</v>
      </c>
      <c r="Y182" s="5">
        <f>1/AA180</f>
        <v>0.72644925057504717</v>
      </c>
      <c r="Z182" s="5">
        <f>1/AA181</f>
        <v>2.8079191898791978</v>
      </c>
      <c r="AA182" s="5">
        <v>1</v>
      </c>
      <c r="AB182" s="5">
        <f>(G182*$T$6)/T183</f>
        <v>0.70596839001329181</v>
      </c>
      <c r="AC182" s="5">
        <f>(H182*$T$6)/T184</f>
        <v>0.31399065538471793</v>
      </c>
      <c r="AD182" s="5">
        <f>(I182*$T$6)/T185</f>
        <v>4.03188454032784</v>
      </c>
      <c r="AG182" s="5">
        <f/>
        <v>1.571622295176035</v>
      </c>
      <c r="AH182" s="5">
        <f/>
        <v>2.5198080785256161</v>
      </c>
      <c r="AI182" s="5">
        <f/>
        <v>1.376558650461011</v>
      </c>
      <c r="AJ182" s="5">
        <f/>
        <v>0.35613560518564003</v>
      </c>
      <c r="AK182" s="5">
        <f/>
        <v>1</v>
      </c>
      <c r="AL182" s="5">
        <f/>
        <v>1.4164940160864321</v>
      </c>
      <c r="AM182" s="5">
        <f/>
        <v>3.184808155436178</v>
      </c>
      <c r="AN182" s="5">
        <f/>
        <v>0.248022975359976</v>
      </c>
      <c r="AR182" s="5">
        <f t="shared" si="167"/>
        <v>2.2079074910971017</v>
      </c>
      <c r="AS182" s="5">
        <f t="shared" si="168"/>
        <v>2.9166636996033599</v>
      </c>
      <c r="AT182" s="5">
        <f t="shared" si="169"/>
        <v>2.1030079010360581</v>
      </c>
      <c r="AU182" s="5">
        <f t="shared" si="170"/>
        <v>3.1640547950648377</v>
      </c>
      <c r="AV182" s="5">
        <f t="shared" si="171"/>
        <v>2</v>
      </c>
      <c r="AW182" s="5">
        <f t="shared" si="172"/>
        <v>2.1224624060997241</v>
      </c>
      <c r="AX182" s="5">
        <f t="shared" si="173"/>
        <v>3.4987988108208961</v>
      </c>
      <c r="AY182" s="5">
        <f t="shared" si="174"/>
        <v>4.2799075156878157</v>
      </c>
    </row>
    <row r="183">
      <c r="B183" s="4">
        <v>0.33333333333333331</v>
      </c>
      <c r="C183" s="4">
        <v>3</v>
      </c>
      <c r="D183" s="4">
        <v>0.14285714285714279</v>
      </c>
      <c r="E183" s="4">
        <v>3</v>
      </c>
      <c r="F183" s="4">
        <v>1</v>
      </c>
      <c r="G183" s="4">
        <v>1</v>
      </c>
      <c r="H183" s="4">
        <v>1</v>
      </c>
      <c r="I183" s="4">
        <v>0.16666666666666671</v>
      </c>
      <c r="L183" s="5">
        <f t="shared" si="158"/>
        <v>0.017706949977866312</v>
      </c>
      <c r="M183" s="5">
        <f t="shared" si="159"/>
        <v>0.42296072507552873</v>
      </c>
      <c r="N183" s="5">
        <f t="shared" si="160"/>
        <v>0.0090680100755667469</v>
      </c>
      <c r="O183" s="5">
        <f t="shared" si="161"/>
        <v>0.18973998594518623</v>
      </c>
      <c r="P183" s="5">
        <f t="shared" si="162"/>
        <v>0.029055690072639227</v>
      </c>
      <c r="Q183" s="5">
        <f t="shared" si="163"/>
        <v>0.037300177619893425</v>
      </c>
      <c r="R183" s="5">
        <f t="shared" si="164"/>
        <v>0.092189500640204869</v>
      </c>
      <c r="S183" s="6">
        <f t="shared" si="165"/>
        <v>0.0055555555555555575</v>
      </c>
      <c r="T183" s="5">
        <f t="shared" si="166"/>
        <v>0.10044707437030514</v>
      </c>
      <c r="W183" s="5">
        <f>1/AB178</f>
        <v>0.2639320211441632</v>
      </c>
      <c r="X183" s="5">
        <f>1/AB179</f>
        <v>1.4815465794338289</v>
      </c>
      <c r="Y183" s="5">
        <f>1/AB180</f>
        <v>0.12914237213486437</v>
      </c>
      <c r="Z183" s="5">
        <f>1/AB181</f>
        <v>2.6206401334285108</v>
      </c>
      <c r="AA183" s="5">
        <f>1/AB182</f>
        <v>1.4164940160864317</v>
      </c>
      <c r="AB183" s="5">
        <v>1</v>
      </c>
      <c r="AC183" s="5">
        <f>(H183*$T$7)/T184</f>
        <v>0.99180202955663244</v>
      </c>
      <c r="AD183" s="5">
        <f>(I183*$T$7)/T185</f>
        <v>0.17688208945862771</v>
      </c>
      <c r="AG183" s="5">
        <f/>
        <v>3.788854401466454</v>
      </c>
      <c r="AH183" s="5">
        <f/>
        <v>0.67497034104870912</v>
      </c>
      <c r="AI183" s="5">
        <f/>
        <v>7.7433919128858211</v>
      </c>
      <c r="AJ183" s="5">
        <f/>
        <v>0.38158615799404999</v>
      </c>
      <c r="AK183" s="5">
        <f/>
        <v>0.70596839001329181</v>
      </c>
      <c r="AL183" s="5">
        <f/>
        <v>1</v>
      </c>
      <c r="AM183" s="5">
        <f/>
        <v>1.008265732675534</v>
      </c>
      <c r="AN183" s="5">
        <f/>
        <v>5.6534836458605833</v>
      </c>
      <c r="AR183" s="5">
        <f t="shared" si="167"/>
        <v>4.0527864226106169</v>
      </c>
      <c r="AS183" s="5">
        <f t="shared" si="168"/>
        <v>2.1565169204825381</v>
      </c>
      <c r="AT183" s="5">
        <f t="shared" si="169"/>
        <v>7.8725342850206852</v>
      </c>
      <c r="AU183" s="5">
        <f t="shared" si="170"/>
        <v>3.0022262914225606</v>
      </c>
      <c r="AV183" s="5">
        <f t="shared" si="171"/>
        <v>2.1224624060997233</v>
      </c>
      <c r="AW183" s="5">
        <f t="shared" si="172"/>
        <v>2</v>
      </c>
      <c r="AX183" s="5">
        <f t="shared" si="173"/>
        <v>2.0000677622321663</v>
      </c>
      <c r="AY183" s="5">
        <f t="shared" si="174"/>
        <v>5.8303657353192113</v>
      </c>
    </row>
    <row r="184">
      <c r="B184" s="4">
        <v>9</v>
      </c>
      <c r="C184" s="4">
        <v>1</v>
      </c>
      <c r="D184" s="4">
        <v>0.5</v>
      </c>
      <c r="E184" s="4">
        <v>0.5</v>
      </c>
      <c r="F184" s="4">
        <v>2</v>
      </c>
      <c r="G184" s="4">
        <v>1</v>
      </c>
      <c r="H184" s="4">
        <v>1</v>
      </c>
      <c r="I184" s="4">
        <v>1</v>
      </c>
      <c r="L184" s="5">
        <f t="shared" si="158"/>
        <v>0.47808764940239046</v>
      </c>
      <c r="M184" s="5">
        <f t="shared" si="159"/>
        <v>0.14098690835850958</v>
      </c>
      <c r="N184" s="5">
        <f t="shared" si="160"/>
        <v>0.031738035264483627</v>
      </c>
      <c r="O184" s="5">
        <f t="shared" si="161"/>
        <v>0.031623330990864375</v>
      </c>
      <c r="P184" s="5">
        <f t="shared" si="162"/>
        <v>0.058111380145278453</v>
      </c>
      <c r="Q184" s="5">
        <f t="shared" si="163"/>
        <v>0.037300177619893425</v>
      </c>
      <c r="R184" s="5">
        <f t="shared" si="164"/>
        <v>0.092189500640204869</v>
      </c>
      <c r="S184" s="6">
        <f t="shared" si="165"/>
        <v>0.033333333333333333</v>
      </c>
      <c r="T184" s="5">
        <f t="shared" si="166"/>
        <v>0.11292128946936976</v>
      </c>
      <c r="W184" s="5">
        <f>1/AC178</f>
        <v>8.0111411642467729</v>
      </c>
      <c r="X184" s="5">
        <f>1/AC179</f>
        <v>0.55517844001391126</v>
      </c>
      <c r="Y184" s="5">
        <f>1/AC180</f>
        <v>0.50813058989596804</v>
      </c>
      <c r="Z184" s="5">
        <f>1/AC181</f>
        <v>0.49101490338247944</v>
      </c>
      <c r="AA184" s="5">
        <f>1/AC182</f>
        <v>3.1848081554361776</v>
      </c>
      <c r="AB184" s="5">
        <f>1/AC183</f>
        <v>1.0082657326755344</v>
      </c>
      <c r="AC184" s="5">
        <v>1</v>
      </c>
      <c r="AD184" s="5">
        <f>(I184*T184)/T185</f>
        <v>1.0700648971510958</v>
      </c>
      <c r="AG184" s="5">
        <f/>
        <v>0.1248261614041877</v>
      </c>
      <c r="AH184" s="5">
        <f/>
        <v>1.801222684322797</v>
      </c>
      <c r="AI184" s="5">
        <f/>
        <v>1.9679980302007301</v>
      </c>
      <c r="AJ184" s="5">
        <f/>
        <v>2.0365980606927589</v>
      </c>
      <c r="AK184" s="5">
        <f/>
        <v>0.31399065538471788</v>
      </c>
      <c r="AL184" s="5">
        <f/>
        <v>0.99180202955663244</v>
      </c>
      <c r="AM184" s="5">
        <f/>
        <v>1</v>
      </c>
      <c r="AN184" s="5">
        <f/>
        <v>0.93452275900495929</v>
      </c>
      <c r="AR184" s="5">
        <f t="shared" si="167"/>
        <v>8.1359673256509613</v>
      </c>
      <c r="AS184" s="5">
        <f t="shared" si="168"/>
        <v>2.356401124336708</v>
      </c>
      <c r="AT184" s="5">
        <f t="shared" si="169"/>
        <v>2.4761286200966981</v>
      </c>
      <c r="AU184" s="5">
        <f t="shared" si="170"/>
        <v>2.5276129640752383</v>
      </c>
      <c r="AV184" s="5">
        <f t="shared" si="171"/>
        <v>3.4987988108208956</v>
      </c>
      <c r="AW184" s="5">
        <f t="shared" si="172"/>
        <v>2.0000677622321668</v>
      </c>
      <c r="AX184" s="5">
        <f t="shared" si="173"/>
        <v>2</v>
      </c>
      <c r="AY184" s="5">
        <f t="shared" si="174"/>
        <v>2.0045876561560552</v>
      </c>
    </row>
    <row r="185">
      <c r="B185" s="10">
        <v>0.20000000000000001</v>
      </c>
      <c r="C185" s="10">
        <v>2</v>
      </c>
      <c r="D185" s="10">
        <v>3</v>
      </c>
      <c r="E185" s="10">
        <v>0.1111111111111111</v>
      </c>
      <c r="F185" s="10">
        <v>0.16666666666666671</v>
      </c>
      <c r="G185" s="10">
        <v>6</v>
      </c>
      <c r="H185" s="10">
        <v>1</v>
      </c>
      <c r="I185" s="10">
        <v>1</v>
      </c>
      <c r="L185" s="5">
        <f t="shared" si="158"/>
        <v>0.010624169986719788</v>
      </c>
      <c r="M185" s="5">
        <f t="shared" si="159"/>
        <v>0.28197381671701915</v>
      </c>
      <c r="N185" s="5">
        <f t="shared" si="160"/>
        <v>0.19042821158690176</v>
      </c>
      <c r="O185" s="5">
        <f t="shared" si="161"/>
        <v>0.0070274068868587496</v>
      </c>
      <c r="P185" s="5">
        <f t="shared" si="162"/>
        <v>0.0048426150121065395</v>
      </c>
      <c r="Q185" s="5">
        <f t="shared" si="163"/>
        <v>0.22380106571936056</v>
      </c>
      <c r="R185" s="5">
        <f t="shared" si="164"/>
        <v>0.092189500640204869</v>
      </c>
      <c r="S185" s="6">
        <f t="shared" si="165"/>
        <v>0.033333333333333333</v>
      </c>
      <c r="T185" s="5">
        <f t="shared" si="166"/>
        <v>0.10552751498531308</v>
      </c>
      <c r="W185" s="5">
        <f>1/AD178</f>
        <v>0.16636874985755767</v>
      </c>
      <c r="X185" s="5">
        <f>1/AD179</f>
        <v>1.0376537750037393</v>
      </c>
      <c r="Y185" s="5">
        <f>1/AD180</f>
        <v>2.8491576048263854</v>
      </c>
      <c r="Z185" s="5">
        <f>1/AD181</f>
        <v>0.10196991160478849</v>
      </c>
      <c r="AA185" s="5">
        <f>1/AD182</f>
        <v>0.248022975359976</v>
      </c>
      <c r="AB185" s="5">
        <f>1/AD183</f>
        <v>5.6534836458605806</v>
      </c>
      <c r="AC185" s="5">
        <f>1/AD184</f>
        <v>0.93452275900495929</v>
      </c>
      <c r="AD185" s="5">
        <v>1</v>
      </c>
      <c r="AG185" s="5">
        <f/>
        <v>6.01074421041322</v>
      </c>
      <c r="AH185" s="5">
        <f/>
        <v>0.96371258322304698</v>
      </c>
      <c r="AI185" s="5">
        <f/>
        <v>0.35098093496338378</v>
      </c>
      <c r="AJ185" s="5">
        <f/>
        <v>9.8068144245899305</v>
      </c>
      <c r="AK185" s="5">
        <f/>
        <v>4.03188454032784</v>
      </c>
      <c r="AL185" s="5">
        <f/>
        <v>0.1768820894586276</v>
      </c>
      <c r="AM185" s="5">
        <f/>
        <v>1.070064897151096</v>
      </c>
      <c r="AN185" s="5">
        <f/>
        <v>1</v>
      </c>
      <c r="AR185" s="5">
        <f t="shared" si="167"/>
        <v>6.1771129602707777</v>
      </c>
      <c r="AS185" s="5">
        <f t="shared" si="168"/>
        <v>2.0013663582267864</v>
      </c>
      <c r="AT185" s="5">
        <f t="shared" si="169"/>
        <v>3.2001385397897693</v>
      </c>
      <c r="AU185" s="13">
        <f t="shared" si="170"/>
        <v>9.908784336194719</v>
      </c>
      <c r="AV185" s="5">
        <f t="shared" si="171"/>
        <v>4.2799075156878157</v>
      </c>
      <c r="AW185" s="5">
        <f t="shared" si="172"/>
        <v>5.8303657353192087</v>
      </c>
      <c r="AX185" s="5">
        <f t="shared" si="173"/>
        <v>2.0045876561560552</v>
      </c>
      <c r="AY185" s="5">
        <f t="shared" si="174"/>
        <v>2</v>
      </c>
    </row>
    <row r="186">
      <c r="A186" s="2" t="s">
        <v>6</v>
      </c>
      <c r="B186" s="11">
        <f>SUM(B178:B185)</f>
        <v>19.699999999999999</v>
      </c>
      <c r="C186" s="11">
        <f>SUM(C178:C185)</f>
        <v>9.4761904761904763</v>
      </c>
      <c r="D186" s="11">
        <f>SUM(D178:D185)</f>
        <v>12.753968253968253</v>
      </c>
      <c r="E186" s="11">
        <f>SUM(E178:E185)</f>
        <v>10.81111111111111</v>
      </c>
      <c r="F186" s="11">
        <f>SUM(F178:F185)</f>
        <v>7.416666666666667</v>
      </c>
      <c r="G186" s="11">
        <f>SUM(G178:G185)</f>
        <v>19.666666666666668</v>
      </c>
      <c r="H186" s="11">
        <f>SUM(H178:H185)</f>
        <v>8.6111111111111107</v>
      </c>
      <c r="I186" s="11">
        <f>SUM(I178:I185)</f>
        <v>23</v>
      </c>
    </row>
    <row r="188">
      <c r="B188" s="2" t="s">
        <v>7</v>
      </c>
      <c r="C188" s="2">
        <f>B186*T178+C186*T179+D186*T180+E186*T181+F186*T182+G186*T183+H186*T184+I186*T185</f>
        <v>11.272958698934804</v>
      </c>
    </row>
    <row r="189">
      <c r="B189" s="2" t="s">
        <v>8</v>
      </c>
      <c r="C189" s="2">
        <f>(C188-8)/7</f>
        <v>0.46756552841925775</v>
      </c>
    </row>
    <row r="190">
      <c r="B190" s="2" t="s">
        <v>9</v>
      </c>
      <c r="C190" s="2">
        <f>C189/1.41</f>
        <v>0.33160675774415443</v>
      </c>
    </row>
    <row r="193">
      <c r="A193" s="2" t="s">
        <v>30</v>
      </c>
    </row>
    <row r="194">
      <c r="T194" s="12" t="s">
        <v>3</v>
      </c>
    </row>
    <row r="195">
      <c r="B195" s="4">
        <v>1</v>
      </c>
      <c r="C195" s="4">
        <v>0.33333333333333331</v>
      </c>
      <c r="D195" s="4">
        <v>6</v>
      </c>
      <c r="E195" s="4">
        <v>0.20000000000000001</v>
      </c>
      <c r="F195" s="4">
        <v>1</v>
      </c>
      <c r="G195" s="4">
        <v>3</v>
      </c>
      <c r="H195" s="4">
        <v>0.1111111111111111</v>
      </c>
      <c r="I195" s="4">
        <v>5</v>
      </c>
      <c r="L195" s="5">
        <f t="shared" si="158"/>
        <v>0.053120849933598939</v>
      </c>
      <c r="M195" s="5">
        <f t="shared" si="159"/>
        <v>0.046995636119503185</v>
      </c>
      <c r="N195" s="5">
        <f t="shared" si="160"/>
        <v>0.38085642317380353</v>
      </c>
      <c r="O195" s="5">
        <f t="shared" si="161"/>
        <v>0.012649332396345751</v>
      </c>
      <c r="P195" s="5">
        <f t="shared" si="162"/>
        <v>0.029055690072639227</v>
      </c>
      <c r="Q195" s="5">
        <f t="shared" si="163"/>
        <v>0.11190053285968028</v>
      </c>
      <c r="R195" s="5">
        <f t="shared" si="164"/>
        <v>0.010243277848911651</v>
      </c>
      <c r="S195" s="6">
        <f t="shared" si="165"/>
        <v>0.16666666666666666</v>
      </c>
      <c r="T195" s="5">
        <f t="shared" si="166"/>
        <v>0.10143605113389365</v>
      </c>
      <c r="W195" s="5">
        <v>1</v>
      </c>
      <c r="X195" s="5">
        <f>(C195*$T$2)/T196</f>
        <v>0.58587206195431651</v>
      </c>
      <c r="Y195" s="5">
        <f>(D195*$T$2)/T197</f>
        <v>7.9889638629373003</v>
      </c>
      <c r="Z195" s="5">
        <f>(E195*$T$2)/T198</f>
        <v>0.26335727057313618</v>
      </c>
      <c r="AA195" s="5">
        <f>(F195*$T$2)/T199</f>
        <v>1.571622295176035</v>
      </c>
      <c r="AB195" s="5">
        <f>(G195*$T$2)/T200</f>
        <v>3.7888544014664545</v>
      </c>
      <c r="AC195" s="5">
        <f>(H195*$T$2)/T201</f>
        <v>0.12482616140418772</v>
      </c>
      <c r="AD195" s="5">
        <f>(I195*$T$2)/T202</f>
        <v>5.6354612413807681</v>
      </c>
      <c r="AG195" s="5">
        <f t="array" ref="AG195:AN202">TRANSPOSE(W195:AD202)</f>
        <v>1</v>
      </c>
      <c r="AH195" s="5">
        <f/>
        <v>1.706857290078418</v>
      </c>
      <c r="AI195" s="5">
        <f/>
        <v>0.12517267785366229</v>
      </c>
      <c r="AJ195" s="5">
        <f/>
        <v>3.7971231924743569</v>
      </c>
      <c r="AK195" s="5">
        <f/>
        <v>0.63628519592106669</v>
      </c>
      <c r="AL195" s="5">
        <f/>
        <v>0.2639320211441632</v>
      </c>
      <c r="AM195" s="5">
        <f/>
        <v>8.0111411642467729</v>
      </c>
      <c r="AN195" s="5">
        <f/>
        <v>0.17744776464028811</v>
      </c>
      <c r="AR195" s="5">
        <f t="shared" si="167"/>
        <v>2</v>
      </c>
      <c r="AS195" s="5">
        <f t="shared" si="168"/>
        <v>2.2927293520327345</v>
      </c>
      <c r="AT195" s="5">
        <f t="shared" si="169"/>
        <v>8.1141365407909625</v>
      </c>
      <c r="AU195" s="5">
        <f t="shared" si="170"/>
        <v>4.0604804630474929</v>
      </c>
      <c r="AV195" s="5">
        <f t="shared" si="171"/>
        <v>2.2079074910971017</v>
      </c>
      <c r="AW195" s="5">
        <f t="shared" si="172"/>
        <v>4.0527864226106178</v>
      </c>
      <c r="AX195" s="13">
        <f t="shared" si="173"/>
        <v>8.1359673256509613</v>
      </c>
      <c r="AY195" s="5">
        <f t="shared" si="174"/>
        <v>5.812909006021056</v>
      </c>
    </row>
    <row r="196">
      <c r="B196" s="4">
        <v>3</v>
      </c>
      <c r="C196" s="4">
        <v>1</v>
      </c>
      <c r="D196" s="4">
        <v>1</v>
      </c>
      <c r="E196" s="4">
        <v>1</v>
      </c>
      <c r="F196" s="4">
        <v>1</v>
      </c>
      <c r="G196" s="4">
        <v>0.33333333333333331</v>
      </c>
      <c r="H196" s="4">
        <v>1</v>
      </c>
      <c r="I196" s="4">
        <v>0.5</v>
      </c>
      <c r="L196" s="5">
        <f t="shared" si="158"/>
        <v>0.15936254980079681</v>
      </c>
      <c r="M196" s="5">
        <f t="shared" si="159"/>
        <v>0.14098690835850958</v>
      </c>
      <c r="N196" s="5">
        <f t="shared" si="160"/>
        <v>0.063476070528967254</v>
      </c>
      <c r="O196" s="5">
        <f t="shared" si="161"/>
        <v>0.06324666198172875</v>
      </c>
      <c r="P196" s="5">
        <f t="shared" si="162"/>
        <v>0.029055690072639227</v>
      </c>
      <c r="Q196" s="5">
        <f t="shared" si="163"/>
        <v>0.012433392539964476</v>
      </c>
      <c r="R196" s="5">
        <f t="shared" si="164"/>
        <v>0.092189500640204869</v>
      </c>
      <c r="S196" s="6">
        <f t="shared" si="165"/>
        <v>0.016666666666666666</v>
      </c>
      <c r="T196" s="5">
        <f t="shared" si="166"/>
        <v>0.072177180073684705</v>
      </c>
      <c r="W196" s="5">
        <f>1/X195</f>
        <v>1.7068572900784185</v>
      </c>
      <c r="X196" s="5">
        <v>1</v>
      </c>
      <c r="Y196" s="5">
        <f>(D196*$T$3)/T197</f>
        <v>2.1348063656545651</v>
      </c>
      <c r="Z196" s="5">
        <f>(E196*$T$3)/T198</f>
        <v>2.1112253878223175</v>
      </c>
      <c r="AA196" s="5">
        <f>(F196*$T$3)/T199</f>
        <v>2.5198080785256161</v>
      </c>
      <c r="AB196" s="5">
        <f>(G196*$T$3)/T200</f>
        <v>0.67497034104870912</v>
      </c>
      <c r="AC196" s="5">
        <f>(H196*$T$3)/T201</f>
        <v>1.8012226843227965</v>
      </c>
      <c r="AD196" s="5">
        <f>(I196*$T$3)/T202</f>
        <v>0.90354284269419227</v>
      </c>
      <c r="AG196" s="5">
        <f/>
        <v>0.58587206195431651</v>
      </c>
      <c r="AH196" s="5">
        <f/>
        <v>1</v>
      </c>
      <c r="AI196" s="5">
        <f/>
        <v>0.46842655900240598</v>
      </c>
      <c r="AJ196" s="5">
        <f/>
        <v>0.47365857087929297</v>
      </c>
      <c r="AK196" s="5">
        <f/>
        <v>0.39685562107774403</v>
      </c>
      <c r="AL196" s="5">
        <f/>
        <v>1.4815465794338289</v>
      </c>
      <c r="AM196" s="5">
        <f/>
        <v>0.55517844001391126</v>
      </c>
      <c r="AN196" s="5">
        <f/>
        <v>1.106754381472594</v>
      </c>
      <c r="AR196" s="5">
        <f t="shared" si="167"/>
        <v>2.292729352032735</v>
      </c>
      <c r="AS196" s="5">
        <f t="shared" si="168"/>
        <v>2</v>
      </c>
      <c r="AT196" s="5">
        <f t="shared" si="169"/>
        <v>2.6032329246569712</v>
      </c>
      <c r="AU196" s="5">
        <f t="shared" si="170"/>
        <v>2.5848839587016106</v>
      </c>
      <c r="AV196" s="5">
        <f t="shared" si="171"/>
        <v>2.9166636996033599</v>
      </c>
      <c r="AW196" s="5">
        <f t="shared" si="172"/>
        <v>2.1565169204825381</v>
      </c>
      <c r="AX196" s="5">
        <f t="shared" si="173"/>
        <v>2.356401124336708</v>
      </c>
      <c r="AY196" s="5">
        <f t="shared" si="174"/>
        <v>2.010297224166786</v>
      </c>
    </row>
    <row r="197">
      <c r="B197" s="4">
        <v>0.16666666666666671</v>
      </c>
      <c r="C197" s="4">
        <v>1</v>
      </c>
      <c r="D197" s="4">
        <v>1</v>
      </c>
      <c r="E197" s="4">
        <v>1</v>
      </c>
      <c r="F197" s="4">
        <v>1</v>
      </c>
      <c r="G197" s="4">
        <v>7</v>
      </c>
      <c r="H197" s="4">
        <v>2</v>
      </c>
      <c r="I197" s="4">
        <v>0.33333333333333331</v>
      </c>
      <c r="L197" s="5">
        <f t="shared" si="158"/>
        <v>0.0088534749889331594</v>
      </c>
      <c r="M197" s="5">
        <f t="shared" si="159"/>
        <v>0.14098690835850958</v>
      </c>
      <c r="N197" s="5">
        <f t="shared" si="160"/>
        <v>0.063476070528967254</v>
      </c>
      <c r="O197" s="5">
        <f t="shared" si="161"/>
        <v>0.06324666198172875</v>
      </c>
      <c r="P197" s="5">
        <f t="shared" si="162"/>
        <v>0.029055690072639227</v>
      </c>
      <c r="Q197" s="5">
        <f t="shared" si="163"/>
        <v>0.261101243339254</v>
      </c>
      <c r="R197" s="5">
        <f t="shared" si="164"/>
        <v>0.18437900128040974</v>
      </c>
      <c r="S197" s="6">
        <f t="shared" si="165"/>
        <v>0.01111111111111111</v>
      </c>
      <c r="T197" s="5">
        <f t="shared" si="166"/>
        <v>0.095276270207694094</v>
      </c>
      <c r="W197" s="5">
        <f>1/Y195</f>
        <v>0.12517267785366226</v>
      </c>
      <c r="X197" s="5">
        <f>1/Y196</f>
        <v>0.46842655900240598</v>
      </c>
      <c r="Y197" s="5">
        <v>1</v>
      </c>
      <c r="Z197" s="5">
        <f>(E197*$T$4)/T198</f>
        <v>1.153351953844119</v>
      </c>
      <c r="AA197" s="5">
        <f>(F197*$T$4)/T199</f>
        <v>1.3765586504610114</v>
      </c>
      <c r="AB197" s="5">
        <f>(G197*$T$4)/T200</f>
        <v>7.7433919128858211</v>
      </c>
      <c r="AC197" s="5">
        <f>(H197*$T$4)/T201</f>
        <v>1.9679980302007301</v>
      </c>
      <c r="AD197" s="5">
        <f>(I197*$T$4)/T202</f>
        <v>0.32906731449711057</v>
      </c>
      <c r="AG197" s="5">
        <f/>
        <v>7.9889638629373003</v>
      </c>
      <c r="AH197" s="5">
        <f/>
        <v>2.1348063656545651</v>
      </c>
      <c r="AI197" s="5">
        <f/>
        <v>1</v>
      </c>
      <c r="AJ197" s="5">
        <f/>
        <v>0.86703802483448578</v>
      </c>
      <c r="AK197" s="5">
        <f/>
        <v>0.72644925057504717</v>
      </c>
      <c r="AL197" s="5">
        <f/>
        <v>0.1291423721348644</v>
      </c>
      <c r="AM197" s="5">
        <f/>
        <v>0.50813058989596804</v>
      </c>
      <c r="AN197" s="5">
        <f/>
        <v>3.0388919103929442</v>
      </c>
      <c r="AR197" s="5">
        <f t="shared" si="167"/>
        <v>8.1141365407909625</v>
      </c>
      <c r="AS197" s="5">
        <f t="shared" si="168"/>
        <v>2.6032329246569712</v>
      </c>
      <c r="AT197" s="5">
        <f t="shared" si="169"/>
        <v>2</v>
      </c>
      <c r="AU197" s="5">
        <f t="shared" si="170"/>
        <v>2.0203899786786046</v>
      </c>
      <c r="AV197" s="5">
        <f t="shared" si="171"/>
        <v>2.1030079010360585</v>
      </c>
      <c r="AW197" s="5">
        <f t="shared" si="172"/>
        <v>7.8725342850206852</v>
      </c>
      <c r="AX197" s="5">
        <f t="shared" si="173"/>
        <v>2.4761286200966981</v>
      </c>
      <c r="AY197" s="5">
        <f t="shared" si="174"/>
        <v>3.3679592248900549</v>
      </c>
    </row>
    <row r="198" ht="18.75" customHeight="1">
      <c r="B198" s="4">
        <v>5</v>
      </c>
      <c r="C198" s="4">
        <v>1</v>
      </c>
      <c r="D198" s="4">
        <v>1</v>
      </c>
      <c r="E198" s="4">
        <v>1</v>
      </c>
      <c r="F198" s="4">
        <v>0.25</v>
      </c>
      <c r="G198" s="4">
        <v>0.33333333333333331</v>
      </c>
      <c r="H198" s="4">
        <v>2</v>
      </c>
      <c r="I198" s="4">
        <v>1</v>
      </c>
      <c r="L198" s="5">
        <f t="shared" si="158"/>
        <v>0.26560424966799467</v>
      </c>
      <c r="M198" s="5">
        <f t="shared" si="159"/>
        <v>0.14098690835850958</v>
      </c>
      <c r="N198" s="5">
        <f t="shared" si="160"/>
        <v>0.063476070528967254</v>
      </c>
      <c r="O198" s="5">
        <f t="shared" si="161"/>
        <v>0.06324666198172875</v>
      </c>
      <c r="P198" s="5">
        <f t="shared" si="162"/>
        <v>0.0072639225181598066</v>
      </c>
      <c r="Q198" s="5">
        <f t="shared" si="163"/>
        <v>0.012433392539964476</v>
      </c>
      <c r="R198" s="5">
        <f t="shared" si="164"/>
        <v>0.18437900128040974</v>
      </c>
      <c r="S198" s="6">
        <f t="shared" si="165"/>
        <v>0.033333333333333333</v>
      </c>
      <c r="T198" s="5">
        <f t="shared" si="166"/>
        <v>0.096340442526133441</v>
      </c>
      <c r="W198" s="5">
        <f>1/Z195</f>
        <v>3.7971231924743574</v>
      </c>
      <c r="X198" s="5">
        <f>1/Z196</f>
        <v>0.47365857087929297</v>
      </c>
      <c r="Y198" s="5">
        <f>1/Z197</f>
        <v>0.86703802483448578</v>
      </c>
      <c r="Z198" s="5">
        <v>1</v>
      </c>
      <c r="AA198" s="5">
        <f>(F198*$T$5)/T199</f>
        <v>0.35613560518563997</v>
      </c>
      <c r="AB198" s="5">
        <f>(G198*$T$5)/T200</f>
        <v>0.38158615799404999</v>
      </c>
      <c r="AC198" s="5">
        <f>(H198*$T$5)/T201</f>
        <v>2.0365980606927589</v>
      </c>
      <c r="AD198" s="5">
        <f>(I198*$T$5)/T202</f>
        <v>1.0216136056912111</v>
      </c>
      <c r="AF198" s="2" t="s">
        <v>4</v>
      </c>
      <c r="AG198" s="5">
        <f/>
        <v>0.26335727057313618</v>
      </c>
      <c r="AH198" s="5">
        <f/>
        <v>2.1112253878223179</v>
      </c>
      <c r="AI198" s="5">
        <f/>
        <v>1.153351953844119</v>
      </c>
      <c r="AJ198" s="5">
        <f/>
        <v>1</v>
      </c>
      <c r="AK198" s="5">
        <f/>
        <v>2.8079191898791982</v>
      </c>
      <c r="AL198" s="5">
        <f/>
        <v>2.6206401334285112</v>
      </c>
      <c r="AM198" s="5">
        <f/>
        <v>0.49101490338247938</v>
      </c>
      <c r="AN198" s="5">
        <f/>
        <v>0.97884365911847115</v>
      </c>
      <c r="AP198" s="8" t="s">
        <v>5</v>
      </c>
      <c r="AR198" s="5">
        <f t="shared" si="167"/>
        <v>4.0604804630474938</v>
      </c>
      <c r="AS198" s="5">
        <f t="shared" si="168"/>
        <v>2.584883958701611</v>
      </c>
      <c r="AT198" s="5">
        <f t="shared" si="169"/>
        <v>2.0203899786786046</v>
      </c>
      <c r="AU198" s="5">
        <f t="shared" si="170"/>
        <v>2</v>
      </c>
      <c r="AV198" s="5">
        <f t="shared" si="171"/>
        <v>3.1640547950648381</v>
      </c>
      <c r="AW198" s="5">
        <f t="shared" si="172"/>
        <v>3.002226291422561</v>
      </c>
      <c r="AX198" s="5">
        <f t="shared" si="173"/>
        <v>2.5276129640752383</v>
      </c>
      <c r="AY198" s="5">
        <f t="shared" si="174"/>
        <v>2.0004572648096821</v>
      </c>
    </row>
    <row r="199">
      <c r="B199" s="4">
        <v>1</v>
      </c>
      <c r="C199" s="4">
        <v>0.14285714285714279</v>
      </c>
      <c r="D199" s="4">
        <v>0.1111111111111111</v>
      </c>
      <c r="E199" s="4">
        <v>4</v>
      </c>
      <c r="F199" s="4">
        <v>1</v>
      </c>
      <c r="G199" s="4">
        <v>1</v>
      </c>
      <c r="H199" s="4">
        <v>0.5</v>
      </c>
      <c r="I199" s="4">
        <v>6</v>
      </c>
      <c r="L199" s="5">
        <f t="shared" si="158"/>
        <v>0.053120849933598939</v>
      </c>
      <c r="M199" s="5">
        <f t="shared" si="159"/>
        <v>0.020140986908358503</v>
      </c>
      <c r="N199" s="5">
        <f t="shared" si="160"/>
        <v>0.0070528967254408059</v>
      </c>
      <c r="O199" s="5">
        <f t="shared" si="161"/>
        <v>0.252986647926915</v>
      </c>
      <c r="P199" s="5">
        <f t="shared" si="162"/>
        <v>0.029055690072639227</v>
      </c>
      <c r="Q199" s="5">
        <f t="shared" si="163"/>
        <v>0.037300177619893425</v>
      </c>
      <c r="R199" s="5">
        <f t="shared" si="164"/>
        <v>0.046094750320102434</v>
      </c>
      <c r="S199" s="6">
        <f t="shared" si="165"/>
        <v>0.20000000000000001</v>
      </c>
      <c r="T199" s="5">
        <f t="shared" si="166"/>
        <v>0.080718999938368535</v>
      </c>
      <c r="W199" s="5">
        <f>1/AA195</f>
        <v>0.63628519592106669</v>
      </c>
      <c r="X199" s="5">
        <f>1/AA196</f>
        <v>0.39685562107774397</v>
      </c>
      <c r="Y199" s="5">
        <f>1/AA197</f>
        <v>0.72644925057504717</v>
      </c>
      <c r="Z199" s="5">
        <f>1/AA198</f>
        <v>2.8079191898791978</v>
      </c>
      <c r="AA199" s="5">
        <v>1</v>
      </c>
      <c r="AB199" s="5">
        <f>(G199*$T$6)/T200</f>
        <v>0.70596839001329181</v>
      </c>
      <c r="AC199" s="5">
        <f>(H199*$T$6)/T201</f>
        <v>0.31399065538471793</v>
      </c>
      <c r="AD199" s="5">
        <f>(I199*$T$6)/T202</f>
        <v>3.7801523840219815</v>
      </c>
      <c r="AG199" s="5">
        <f/>
        <v>1.571622295176035</v>
      </c>
      <c r="AH199" s="5">
        <f/>
        <v>2.5198080785256161</v>
      </c>
      <c r="AI199" s="5">
        <f/>
        <v>1.376558650461011</v>
      </c>
      <c r="AJ199" s="5">
        <f/>
        <v>0.35613560518564003</v>
      </c>
      <c r="AK199" s="5">
        <f/>
        <v>1</v>
      </c>
      <c r="AL199" s="5">
        <f/>
        <v>1.4164940160864321</v>
      </c>
      <c r="AM199" s="5">
        <f/>
        <v>3.184808155436178</v>
      </c>
      <c r="AN199" s="5">
        <f/>
        <v>0.26453960010364103</v>
      </c>
      <c r="AR199" s="5">
        <f t="shared" si="167"/>
        <v>2.2079074910971017</v>
      </c>
      <c r="AS199" s="5">
        <f t="shared" si="168"/>
        <v>2.9166636996033599</v>
      </c>
      <c r="AT199" s="5">
        <f t="shared" si="169"/>
        <v>2.1030079010360581</v>
      </c>
      <c r="AU199" s="5">
        <f t="shared" si="170"/>
        <v>3.1640547950648377</v>
      </c>
      <c r="AV199" s="5">
        <f t="shared" si="171"/>
        <v>2</v>
      </c>
      <c r="AW199" s="5">
        <f t="shared" si="172"/>
        <v>2.1224624060997241</v>
      </c>
      <c r="AX199" s="5">
        <f t="shared" si="173"/>
        <v>3.4987988108208961</v>
      </c>
      <c r="AY199" s="5">
        <f t="shared" si="174"/>
        <v>4.0446919841256221</v>
      </c>
    </row>
    <row r="200">
      <c r="B200" s="4">
        <v>0.33333333333333331</v>
      </c>
      <c r="C200" s="4">
        <v>3</v>
      </c>
      <c r="D200" s="4">
        <v>0.14285714285714279</v>
      </c>
      <c r="E200" s="4">
        <v>3</v>
      </c>
      <c r="F200" s="4">
        <v>1</v>
      </c>
      <c r="G200" s="4">
        <v>1</v>
      </c>
      <c r="H200" s="4">
        <v>1</v>
      </c>
      <c r="I200" s="4">
        <v>0.16666666666666671</v>
      </c>
      <c r="L200" s="5">
        <f t="shared" si="158"/>
        <v>0.017706949977866312</v>
      </c>
      <c r="M200" s="5">
        <f t="shared" si="159"/>
        <v>0.42296072507552873</v>
      </c>
      <c r="N200" s="5">
        <f t="shared" si="160"/>
        <v>0.0090680100755667469</v>
      </c>
      <c r="O200" s="5">
        <f t="shared" si="161"/>
        <v>0.18973998594518623</v>
      </c>
      <c r="P200" s="5">
        <f t="shared" si="162"/>
        <v>0.029055690072639227</v>
      </c>
      <c r="Q200" s="5">
        <f t="shared" si="163"/>
        <v>0.037300177619893425</v>
      </c>
      <c r="R200" s="5">
        <f t="shared" si="164"/>
        <v>0.092189500640204869</v>
      </c>
      <c r="S200" s="6">
        <f t="shared" si="165"/>
        <v>0.0055555555555555575</v>
      </c>
      <c r="T200" s="5">
        <f t="shared" si="166"/>
        <v>0.10044707437030514</v>
      </c>
      <c r="W200" s="5">
        <f>1/AB195</f>
        <v>0.2639320211441632</v>
      </c>
      <c r="X200" s="5">
        <f>1/AB196</f>
        <v>1.4815465794338289</v>
      </c>
      <c r="Y200" s="5">
        <f>1/AB197</f>
        <v>0.12914237213486437</v>
      </c>
      <c r="Z200" s="5">
        <f>1/AB198</f>
        <v>2.6206401334285108</v>
      </c>
      <c r="AA200" s="5">
        <f>1/AB199</f>
        <v>1.4164940160864317</v>
      </c>
      <c r="AB200" s="5">
        <v>1</v>
      </c>
      <c r="AC200" s="5">
        <f>(H200*$T$7)/T201</f>
        <v>0.99180202955663244</v>
      </c>
      <c r="AD200" s="5">
        <f>(I200*$T$7)/T202</f>
        <v>0.16583839280860271</v>
      </c>
      <c r="AG200" s="5">
        <f/>
        <v>3.788854401466454</v>
      </c>
      <c r="AH200" s="5">
        <f/>
        <v>0.67497034104870912</v>
      </c>
      <c r="AI200" s="5">
        <f/>
        <v>7.7433919128858211</v>
      </c>
      <c r="AJ200" s="5">
        <f/>
        <v>0.38158615799404999</v>
      </c>
      <c r="AK200" s="5">
        <f/>
        <v>0.70596839001329181</v>
      </c>
      <c r="AL200" s="5">
        <f/>
        <v>1</v>
      </c>
      <c r="AM200" s="5">
        <f/>
        <v>1.008265732675534</v>
      </c>
      <c r="AN200" s="5">
        <f/>
        <v>6.0299667831086596</v>
      </c>
      <c r="AR200" s="5">
        <f t="shared" si="167"/>
        <v>4.0527864226106169</v>
      </c>
      <c r="AS200" s="5">
        <f t="shared" si="168"/>
        <v>2.1565169204825381</v>
      </c>
      <c r="AT200" s="5">
        <f t="shared" si="169"/>
        <v>7.8725342850206852</v>
      </c>
      <c r="AU200" s="5">
        <f t="shared" si="170"/>
        <v>3.0022262914225606</v>
      </c>
      <c r="AV200" s="5">
        <f t="shared" si="171"/>
        <v>2.1224624060997233</v>
      </c>
      <c r="AW200" s="5">
        <f t="shared" si="172"/>
        <v>2</v>
      </c>
      <c r="AX200" s="5">
        <f t="shared" si="173"/>
        <v>2.0000677622321663</v>
      </c>
      <c r="AY200" s="5">
        <f t="shared" si="174"/>
        <v>6.1958051759172621</v>
      </c>
    </row>
    <row r="201">
      <c r="B201" s="4">
        <v>9</v>
      </c>
      <c r="C201" s="4">
        <v>1</v>
      </c>
      <c r="D201" s="4">
        <v>0.5</v>
      </c>
      <c r="E201" s="4">
        <v>0.5</v>
      </c>
      <c r="F201" s="4">
        <v>2</v>
      </c>
      <c r="G201" s="4">
        <v>1</v>
      </c>
      <c r="H201" s="4">
        <v>1</v>
      </c>
      <c r="I201" s="4">
        <v>1</v>
      </c>
      <c r="L201" s="5">
        <f t="shared" si="158"/>
        <v>0.47808764940239046</v>
      </c>
      <c r="M201" s="5">
        <f t="shared" si="159"/>
        <v>0.14098690835850958</v>
      </c>
      <c r="N201" s="5">
        <f t="shared" si="160"/>
        <v>0.031738035264483627</v>
      </c>
      <c r="O201" s="5">
        <f t="shared" si="161"/>
        <v>0.031623330990864375</v>
      </c>
      <c r="P201" s="5">
        <f t="shared" si="162"/>
        <v>0.058111380145278453</v>
      </c>
      <c r="Q201" s="5">
        <f t="shared" si="163"/>
        <v>0.037300177619893425</v>
      </c>
      <c r="R201" s="5">
        <f t="shared" si="164"/>
        <v>0.092189500640204869</v>
      </c>
      <c r="S201" s="6">
        <f t="shared" si="165"/>
        <v>0.033333333333333333</v>
      </c>
      <c r="T201" s="5">
        <f t="shared" si="166"/>
        <v>0.11292128946936976</v>
      </c>
      <c r="W201" s="5">
        <f>1/AC195</f>
        <v>8.0111411642467729</v>
      </c>
      <c r="X201" s="5">
        <f>1/AC196</f>
        <v>0.55517844001391126</v>
      </c>
      <c r="Y201" s="5">
        <f>1/AC197</f>
        <v>0.50813058989596804</v>
      </c>
      <c r="Z201" s="5">
        <f>1/AC198</f>
        <v>0.49101490338247944</v>
      </c>
      <c r="AA201" s="5">
        <f>1/AC199</f>
        <v>3.1848081554361776</v>
      </c>
      <c r="AB201" s="5">
        <f>1/AC200</f>
        <v>1.0082657326755344</v>
      </c>
      <c r="AC201" s="5">
        <v>1</v>
      </c>
      <c r="AD201" s="5">
        <f>(I201*T201)/T202</f>
        <v>1.0032550117853931</v>
      </c>
      <c r="AG201" s="5">
        <f/>
        <v>0.1248261614041877</v>
      </c>
      <c r="AH201" s="5">
        <f/>
        <v>1.801222684322797</v>
      </c>
      <c r="AI201" s="5">
        <f/>
        <v>1.9679980302007301</v>
      </c>
      <c r="AJ201" s="5">
        <f/>
        <v>2.0365980606927589</v>
      </c>
      <c r="AK201" s="5">
        <f/>
        <v>0.31399065538471788</v>
      </c>
      <c r="AL201" s="5">
        <f/>
        <v>0.99180202955663244</v>
      </c>
      <c r="AM201" s="5">
        <f/>
        <v>1</v>
      </c>
      <c r="AN201" s="5">
        <f/>
        <v>0.9967555489410409</v>
      </c>
      <c r="AR201" s="13">
        <f t="shared" si="167"/>
        <v>8.1359673256509613</v>
      </c>
      <c r="AS201" s="5">
        <f t="shared" si="168"/>
        <v>2.356401124336708</v>
      </c>
      <c r="AT201" s="5">
        <f t="shared" si="169"/>
        <v>2.4761286200966981</v>
      </c>
      <c r="AU201" s="5">
        <f t="shared" si="170"/>
        <v>2.5276129640752383</v>
      </c>
      <c r="AV201" s="5">
        <f t="shared" si="171"/>
        <v>3.4987988108208956</v>
      </c>
      <c r="AW201" s="5">
        <f t="shared" si="172"/>
        <v>2.0000677622321668</v>
      </c>
      <c r="AX201" s="5">
        <f t="shared" si="173"/>
        <v>2</v>
      </c>
      <c r="AY201" s="5">
        <f t="shared" si="174"/>
        <v>2.0000105607264338</v>
      </c>
    </row>
    <row r="202">
      <c r="B202" s="10">
        <v>0.20000000000000001</v>
      </c>
      <c r="C202" s="10">
        <v>2</v>
      </c>
      <c r="D202" s="10">
        <v>3</v>
      </c>
      <c r="E202" s="10">
        <v>1</v>
      </c>
      <c r="F202" s="10">
        <v>0.16666666666666671</v>
      </c>
      <c r="G202" s="10">
        <v>6</v>
      </c>
      <c r="H202" s="10">
        <v>1</v>
      </c>
      <c r="I202" s="10">
        <v>1</v>
      </c>
      <c r="L202" s="5">
        <f t="shared" si="158"/>
        <v>0.010624169986719788</v>
      </c>
      <c r="M202" s="5">
        <f t="shared" si="159"/>
        <v>0.28197381671701915</v>
      </c>
      <c r="N202" s="5">
        <f t="shared" si="160"/>
        <v>0.19042821158690176</v>
      </c>
      <c r="O202" s="5">
        <f t="shared" si="161"/>
        <v>0.06324666198172875</v>
      </c>
      <c r="P202" s="5">
        <f t="shared" si="162"/>
        <v>0.0048426150121065395</v>
      </c>
      <c r="Q202" s="5">
        <f t="shared" si="163"/>
        <v>0.22380106571936056</v>
      </c>
      <c r="R202" s="5">
        <f t="shared" si="164"/>
        <v>0.092189500640204869</v>
      </c>
      <c r="S202" s="6">
        <f t="shared" si="165"/>
        <v>0.033333333333333333</v>
      </c>
      <c r="T202" s="5">
        <f t="shared" si="166"/>
        <v>0.11255492187217185</v>
      </c>
      <c r="W202" s="5">
        <f>1/AD195</f>
        <v>0.17744776464028805</v>
      </c>
      <c r="X202" s="5">
        <f>1/AD196</f>
        <v>1.106754381472594</v>
      </c>
      <c r="Y202" s="5">
        <f>1/AD197</f>
        <v>3.0388919103929437</v>
      </c>
      <c r="Z202" s="5">
        <f>1/AD198</f>
        <v>0.97884365911847115</v>
      </c>
      <c r="AA202" s="5">
        <f>1/AD199</f>
        <v>0.26453960010364097</v>
      </c>
      <c r="AB202" s="5">
        <f>1/AD200</f>
        <v>6.029966783108657</v>
      </c>
      <c r="AC202" s="5">
        <f>1/AD201</f>
        <v>0.9967555489410409</v>
      </c>
      <c r="AD202" s="5">
        <v>1</v>
      </c>
      <c r="AG202" s="5">
        <f/>
        <v>5.6354612413807681</v>
      </c>
      <c r="AH202" s="5">
        <f/>
        <v>0.90354284269419227</v>
      </c>
      <c r="AI202" s="5">
        <f/>
        <v>0.32906731449711057</v>
      </c>
      <c r="AJ202" s="5">
        <f/>
        <v>1.0216136056912111</v>
      </c>
      <c r="AK202" s="5">
        <f/>
        <v>3.7801523840219819</v>
      </c>
      <c r="AL202" s="5">
        <f/>
        <v>0.16583839280860271</v>
      </c>
      <c r="AM202" s="5">
        <f/>
        <v>1.0032550117853929</v>
      </c>
      <c r="AN202" s="5">
        <f/>
        <v>1</v>
      </c>
      <c r="AR202" s="5">
        <f t="shared" si="167"/>
        <v>5.812909006021056</v>
      </c>
      <c r="AS202" s="5">
        <f t="shared" si="168"/>
        <v>2.010297224166786</v>
      </c>
      <c r="AT202" s="5">
        <f t="shared" si="169"/>
        <v>3.3679592248900541</v>
      </c>
      <c r="AU202" s="5">
        <f t="shared" si="170"/>
        <v>2.0004572648096821</v>
      </c>
      <c r="AV202" s="5">
        <f t="shared" si="171"/>
        <v>4.044691984125623</v>
      </c>
      <c r="AW202" s="5">
        <f t="shared" si="172"/>
        <v>6.1958051759172594</v>
      </c>
      <c r="AX202" s="5">
        <f t="shared" si="173"/>
        <v>2.0000105607264338</v>
      </c>
      <c r="AY202" s="5">
        <f t="shared" si="174"/>
        <v>2</v>
      </c>
    </row>
    <row r="203">
      <c r="A203" s="2" t="s">
        <v>6</v>
      </c>
      <c r="B203" s="11">
        <f>SUM(B195:B202)</f>
        <v>19.699999999999999</v>
      </c>
      <c r="C203" s="11">
        <f>SUM(C195:C202)</f>
        <v>9.4761904761904763</v>
      </c>
      <c r="D203" s="11">
        <f>SUM(D195:D202)</f>
        <v>12.753968253968253</v>
      </c>
      <c r="E203" s="11">
        <f>SUM(E195:E202)</f>
        <v>11.699999999999999</v>
      </c>
      <c r="F203" s="11">
        <f>SUM(F195:F202)</f>
        <v>7.416666666666667</v>
      </c>
      <c r="G203" s="11">
        <f>SUM(G195:G202)</f>
        <v>19.666666666666668</v>
      </c>
      <c r="H203" s="11">
        <f>SUM(H195:H202)</f>
        <v>8.6111111111111107</v>
      </c>
      <c r="I203" s="11">
        <f>SUM(I195:I202)</f>
        <v>14.999999999999998</v>
      </c>
    </row>
    <row r="205">
      <c r="B205" s="2" t="s">
        <v>7</v>
      </c>
      <c r="C205" s="2">
        <f>B203*T195+C203*T196+D203*T197+E203*T198+F203*T199+G203*T200+H203*T201+I203*T202</f>
        <v>10.25941526089693</v>
      </c>
    </row>
    <row r="206">
      <c r="B206" s="2" t="s">
        <v>8</v>
      </c>
      <c r="C206" s="2">
        <f>(C205-8)/7</f>
        <v>0.32277360869956134</v>
      </c>
    </row>
    <row r="207">
      <c r="B207" s="2" t="s">
        <v>9</v>
      </c>
      <c r="C207" s="2">
        <f>C206/1.41</f>
        <v>0.22891745297841232</v>
      </c>
    </row>
    <row r="210">
      <c r="A210" s="2" t="s">
        <v>31</v>
      </c>
    </row>
    <row r="211">
      <c r="T211" s="12" t="s">
        <v>3</v>
      </c>
    </row>
    <row r="212">
      <c r="B212" s="4">
        <v>1</v>
      </c>
      <c r="C212" s="4">
        <v>0.33333333333333331</v>
      </c>
      <c r="D212" s="4">
        <v>6</v>
      </c>
      <c r="E212" s="4">
        <v>0.20000000000000001</v>
      </c>
      <c r="F212" s="4">
        <v>1</v>
      </c>
      <c r="G212" s="4">
        <v>3</v>
      </c>
      <c r="H212" s="4">
        <v>1</v>
      </c>
      <c r="I212" s="4">
        <v>5</v>
      </c>
      <c r="L212" s="5">
        <f t="shared" si="158"/>
        <v>0.053120849933598939</v>
      </c>
      <c r="M212" s="5">
        <f t="shared" si="159"/>
        <v>0.046995636119503185</v>
      </c>
      <c r="N212" s="5">
        <f t="shared" si="160"/>
        <v>0.38085642317380353</v>
      </c>
      <c r="O212" s="5">
        <f t="shared" si="161"/>
        <v>0.012649332396345751</v>
      </c>
      <c r="P212" s="5">
        <f t="shared" si="162"/>
        <v>0.029055690072639227</v>
      </c>
      <c r="Q212" s="5">
        <f t="shared" si="163"/>
        <v>0.11190053285968028</v>
      </c>
      <c r="R212" s="5">
        <f t="shared" si="164"/>
        <v>0.092189500640204869</v>
      </c>
      <c r="S212" s="6">
        <f t="shared" si="165"/>
        <v>0.16666666666666666</v>
      </c>
      <c r="T212" s="5">
        <f t="shared" si="166"/>
        <v>0.11167932898280529</v>
      </c>
      <c r="W212" s="5">
        <v>1</v>
      </c>
      <c r="X212" s="5">
        <f>(C212*$T$2)/T213</f>
        <v>0.58587206195431651</v>
      </c>
      <c r="Y212" s="5">
        <f>(D212*$T$2)/T214</f>
        <v>7.9889638629373003</v>
      </c>
      <c r="Z212" s="5">
        <f>(E212*$T$2)/T215</f>
        <v>0.26335727057313618</v>
      </c>
      <c r="AA212" s="5">
        <f>(F212*$T$2)/T216</f>
        <v>1.571622295176035</v>
      </c>
      <c r="AB212" s="5">
        <f>(G212*$T$2)/T217</f>
        <v>3.7888544014664545</v>
      </c>
      <c r="AC212" s="5">
        <f>(H212*$T$2)/T218</f>
        <v>2.121385410078287</v>
      </c>
      <c r="AD212" s="5">
        <f>(I212*$T$2)/T219</f>
        <v>5.6354612413807681</v>
      </c>
      <c r="AG212" s="5">
        <f t="array" ref="AG212:AN219">TRANSPOSE(W212:AD219)</f>
        <v>1</v>
      </c>
      <c r="AH212" s="5">
        <f/>
        <v>1.706857290078418</v>
      </c>
      <c r="AI212" s="5">
        <f/>
        <v>0.12517267785366229</v>
      </c>
      <c r="AJ212" s="5">
        <f/>
        <v>3.7971231924743569</v>
      </c>
      <c r="AK212" s="5">
        <f/>
        <v>0.63628519592106669</v>
      </c>
      <c r="AL212" s="5">
        <f/>
        <v>0.2639320211441632</v>
      </c>
      <c r="AM212" s="5">
        <f/>
        <v>0.47139006200815547</v>
      </c>
      <c r="AN212" s="5">
        <f/>
        <v>0.17744776464028811</v>
      </c>
      <c r="AR212" s="5">
        <f t="shared" si="167"/>
        <v>2</v>
      </c>
      <c r="AS212" s="5">
        <f t="shared" si="168"/>
        <v>2.2927293520327345</v>
      </c>
      <c r="AT212" s="13">
        <f t="shared" si="169"/>
        <v>8.1141365407909625</v>
      </c>
      <c r="AU212" s="5">
        <f t="shared" si="170"/>
        <v>4.0604804630474929</v>
      </c>
      <c r="AV212" s="5">
        <f t="shared" si="171"/>
        <v>2.2079074910971017</v>
      </c>
      <c r="AW212" s="5">
        <f t="shared" si="172"/>
        <v>4.0527864226106178</v>
      </c>
      <c r="AX212" s="5">
        <f t="shared" si="173"/>
        <v>2.5927754720864424</v>
      </c>
      <c r="AY212" s="5">
        <f t="shared" si="174"/>
        <v>5.812909006021056</v>
      </c>
    </row>
    <row r="213">
      <c r="B213" s="4">
        <v>3</v>
      </c>
      <c r="C213" s="4">
        <v>1</v>
      </c>
      <c r="D213" s="4">
        <v>1</v>
      </c>
      <c r="E213" s="4">
        <v>1</v>
      </c>
      <c r="F213" s="4">
        <v>1</v>
      </c>
      <c r="G213" s="4">
        <v>0.33333333333333331</v>
      </c>
      <c r="H213" s="4">
        <v>1</v>
      </c>
      <c r="I213" s="4">
        <v>0.5</v>
      </c>
      <c r="L213" s="5">
        <f t="shared" si="158"/>
        <v>0.15936254980079681</v>
      </c>
      <c r="M213" s="5">
        <f t="shared" si="159"/>
        <v>0.14098690835850958</v>
      </c>
      <c r="N213" s="5">
        <f t="shared" si="160"/>
        <v>0.063476070528967254</v>
      </c>
      <c r="O213" s="5">
        <f t="shared" si="161"/>
        <v>0.06324666198172875</v>
      </c>
      <c r="P213" s="5">
        <f t="shared" si="162"/>
        <v>0.029055690072639227</v>
      </c>
      <c r="Q213" s="5">
        <f t="shared" si="163"/>
        <v>0.012433392539964476</v>
      </c>
      <c r="R213" s="5">
        <f t="shared" si="164"/>
        <v>0.092189500640204869</v>
      </c>
      <c r="S213" s="6">
        <f t="shared" si="165"/>
        <v>0.016666666666666666</v>
      </c>
      <c r="T213" s="5">
        <f t="shared" si="166"/>
        <v>0.072177180073684705</v>
      </c>
      <c r="W213" s="5">
        <f>1/X212</f>
        <v>1.7068572900784185</v>
      </c>
      <c r="X213" s="5">
        <v>1</v>
      </c>
      <c r="Y213" s="5">
        <f>(D213*$T$3)/T214</f>
        <v>2.1348063656545651</v>
      </c>
      <c r="Z213" s="5">
        <f>(E213*$T$3)/T215</f>
        <v>2.1112253878223175</v>
      </c>
      <c r="AA213" s="5">
        <f>(F213*$T$3)/T216</f>
        <v>2.5198080785256161</v>
      </c>
      <c r="AB213" s="5">
        <f>(G213*$T$3)/T217</f>
        <v>0.67497034104870912</v>
      </c>
      <c r="AC213" s="5">
        <f>(H213*$T$3)/T218</f>
        <v>3.4012523940320567</v>
      </c>
      <c r="AD213" s="5">
        <f>(I213*$T$3)/T219</f>
        <v>0.90354284269419227</v>
      </c>
      <c r="AG213" s="5">
        <f/>
        <v>0.58587206195431651</v>
      </c>
      <c r="AH213" s="5">
        <f/>
        <v>1</v>
      </c>
      <c r="AI213" s="5">
        <f/>
        <v>0.46842655900240598</v>
      </c>
      <c r="AJ213" s="5">
        <f/>
        <v>0.47365857087929297</v>
      </c>
      <c r="AK213" s="5">
        <f/>
        <v>0.39685562107774403</v>
      </c>
      <c r="AL213" s="5">
        <f/>
        <v>1.4815465794338289</v>
      </c>
      <c r="AM213" s="5">
        <f/>
        <v>0.29400934836668718</v>
      </c>
      <c r="AN213" s="5">
        <f/>
        <v>1.106754381472594</v>
      </c>
      <c r="AR213" s="5">
        <f t="shared" si="167"/>
        <v>2.292729352032735</v>
      </c>
      <c r="AS213" s="5">
        <f t="shared" si="168"/>
        <v>2</v>
      </c>
      <c r="AT213" s="5">
        <f t="shared" si="169"/>
        <v>2.6032329246569712</v>
      </c>
      <c r="AU213" s="5">
        <f t="shared" si="170"/>
        <v>2.5848839587016106</v>
      </c>
      <c r="AV213" s="5">
        <f t="shared" si="171"/>
        <v>2.9166636996033599</v>
      </c>
      <c r="AW213" s="5">
        <f t="shared" si="172"/>
        <v>2.1565169204825381</v>
      </c>
      <c r="AX213" s="5">
        <f t="shared" si="173"/>
        <v>3.6952617423987437</v>
      </c>
      <c r="AY213" s="5">
        <f t="shared" si="174"/>
        <v>2.010297224166786</v>
      </c>
    </row>
    <row r="214">
      <c r="B214" s="4">
        <v>0.16666666666666671</v>
      </c>
      <c r="C214" s="4">
        <v>1</v>
      </c>
      <c r="D214" s="4">
        <v>1</v>
      </c>
      <c r="E214" s="4">
        <v>1</v>
      </c>
      <c r="F214" s="4">
        <v>1</v>
      </c>
      <c r="G214" s="4">
        <v>7</v>
      </c>
      <c r="H214" s="4">
        <v>2</v>
      </c>
      <c r="I214" s="4">
        <v>0.33333333333333331</v>
      </c>
      <c r="L214" s="5">
        <f t="shared" si="158"/>
        <v>0.0088534749889331594</v>
      </c>
      <c r="M214" s="5">
        <f t="shared" si="159"/>
        <v>0.14098690835850958</v>
      </c>
      <c r="N214" s="5">
        <f t="shared" si="160"/>
        <v>0.063476070528967254</v>
      </c>
      <c r="O214" s="5">
        <f t="shared" si="161"/>
        <v>0.06324666198172875</v>
      </c>
      <c r="P214" s="5">
        <f t="shared" si="162"/>
        <v>0.029055690072639227</v>
      </c>
      <c r="Q214" s="5">
        <f t="shared" si="163"/>
        <v>0.261101243339254</v>
      </c>
      <c r="R214" s="5">
        <f t="shared" si="164"/>
        <v>0.18437900128040974</v>
      </c>
      <c r="S214" s="6">
        <f t="shared" si="165"/>
        <v>0.01111111111111111</v>
      </c>
      <c r="T214" s="5">
        <f t="shared" si="166"/>
        <v>0.095276270207694094</v>
      </c>
      <c r="W214" s="5">
        <f>1/Y212</f>
        <v>0.12517267785366226</v>
      </c>
      <c r="X214" s="5">
        <f>1/Y213</f>
        <v>0.46842655900240598</v>
      </c>
      <c r="Y214" s="5">
        <v>1</v>
      </c>
      <c r="Z214" s="5">
        <f>(E214*$T$4)/T215</f>
        <v>1.153351953844119</v>
      </c>
      <c r="AA214" s="5">
        <f>(F214*$T$4)/T216</f>
        <v>1.3765586504610114</v>
      </c>
      <c r="AB214" s="5">
        <f>(G214*$T$4)/T217</f>
        <v>7.7433919128858211</v>
      </c>
      <c r="AC214" s="5">
        <f>(H214*$T$4)/T218</f>
        <v>3.7161746129059052</v>
      </c>
      <c r="AD214" s="5">
        <f>(I214*$T$4)/T219</f>
        <v>0.32906731449711057</v>
      </c>
      <c r="AG214" s="5">
        <f/>
        <v>7.9889638629373003</v>
      </c>
      <c r="AH214" s="5">
        <f/>
        <v>2.1348063656545651</v>
      </c>
      <c r="AI214" s="5">
        <f/>
        <v>1</v>
      </c>
      <c r="AJ214" s="5">
        <f/>
        <v>0.86703802483448578</v>
      </c>
      <c r="AK214" s="5">
        <f/>
        <v>0.72644925057504717</v>
      </c>
      <c r="AL214" s="5">
        <f/>
        <v>0.1291423721348644</v>
      </c>
      <c r="AM214" s="5">
        <f/>
        <v>0.26909392161689588</v>
      </c>
      <c r="AN214" s="5">
        <f/>
        <v>3.0388919103929442</v>
      </c>
      <c r="AR214" s="13">
        <f t="shared" si="167"/>
        <v>8.1141365407909625</v>
      </c>
      <c r="AS214" s="5">
        <f t="shared" si="168"/>
        <v>2.6032329246569712</v>
      </c>
      <c r="AT214" s="5">
        <f t="shared" si="169"/>
        <v>2</v>
      </c>
      <c r="AU214" s="5">
        <f t="shared" si="170"/>
        <v>2.0203899786786046</v>
      </c>
      <c r="AV214" s="5">
        <f t="shared" si="171"/>
        <v>2.1030079010360585</v>
      </c>
      <c r="AW214" s="5">
        <f t="shared" si="172"/>
        <v>7.8725342850206852</v>
      </c>
      <c r="AX214" s="5">
        <f t="shared" si="173"/>
        <v>3.9852685345228012</v>
      </c>
      <c r="AY214" s="5">
        <f t="shared" si="174"/>
        <v>3.3679592248900549</v>
      </c>
    </row>
    <row r="215" ht="18.75" customHeight="1">
      <c r="B215" s="4">
        <v>5</v>
      </c>
      <c r="C215" s="4">
        <v>1</v>
      </c>
      <c r="D215" s="4">
        <v>1</v>
      </c>
      <c r="E215" s="4">
        <v>1</v>
      </c>
      <c r="F215" s="4">
        <v>0.25</v>
      </c>
      <c r="G215" s="4">
        <v>0.33333333333333331</v>
      </c>
      <c r="H215" s="4">
        <v>2</v>
      </c>
      <c r="I215" s="4">
        <v>1</v>
      </c>
      <c r="L215" s="5">
        <f t="shared" si="158"/>
        <v>0.26560424966799467</v>
      </c>
      <c r="M215" s="5">
        <f t="shared" si="159"/>
        <v>0.14098690835850958</v>
      </c>
      <c r="N215" s="5">
        <f t="shared" si="160"/>
        <v>0.063476070528967254</v>
      </c>
      <c r="O215" s="5">
        <f t="shared" si="161"/>
        <v>0.06324666198172875</v>
      </c>
      <c r="P215" s="5">
        <f t="shared" si="162"/>
        <v>0.0072639225181598066</v>
      </c>
      <c r="Q215" s="5">
        <f t="shared" si="163"/>
        <v>0.012433392539964476</v>
      </c>
      <c r="R215" s="5">
        <f t="shared" si="164"/>
        <v>0.18437900128040974</v>
      </c>
      <c r="S215" s="6">
        <f t="shared" si="165"/>
        <v>0.033333333333333333</v>
      </c>
      <c r="T215" s="5">
        <f t="shared" si="166"/>
        <v>0.096340442526133441</v>
      </c>
      <c r="W215" s="5">
        <f>1/Z212</f>
        <v>3.7971231924743574</v>
      </c>
      <c r="X215" s="5">
        <f>1/Z213</f>
        <v>0.47365857087929297</v>
      </c>
      <c r="Y215" s="5">
        <f>1/Z214</f>
        <v>0.86703802483448578</v>
      </c>
      <c r="Z215" s="5">
        <v>1</v>
      </c>
      <c r="AA215" s="5">
        <f>(F215*$T$5)/T216</f>
        <v>0.35613560518563997</v>
      </c>
      <c r="AB215" s="5">
        <f>(G215*$T$5)/T217</f>
        <v>0.38158615799404999</v>
      </c>
      <c r="AC215" s="5">
        <f>(H215*$T$5)/T218</f>
        <v>3.845712187561428</v>
      </c>
      <c r="AD215" s="5">
        <f>(I215*$T$5)/T219</f>
        <v>1.0216136056912111</v>
      </c>
      <c r="AF215" s="2" t="s">
        <v>4</v>
      </c>
      <c r="AG215" s="5">
        <f/>
        <v>0.26335727057313618</v>
      </c>
      <c r="AH215" s="5">
        <f/>
        <v>2.1112253878223179</v>
      </c>
      <c r="AI215" s="5">
        <f/>
        <v>1.153351953844119</v>
      </c>
      <c r="AJ215" s="5">
        <f/>
        <v>1</v>
      </c>
      <c r="AK215" s="5">
        <f/>
        <v>2.8079191898791982</v>
      </c>
      <c r="AL215" s="5">
        <f/>
        <v>2.6206401334285112</v>
      </c>
      <c r="AM215" s="5">
        <f/>
        <v>0.26002985954965641</v>
      </c>
      <c r="AN215" s="5">
        <f/>
        <v>0.97884365911847115</v>
      </c>
      <c r="AP215" s="8" t="s">
        <v>5</v>
      </c>
      <c r="AR215" s="5">
        <f t="shared" si="167"/>
        <v>4.0604804630474938</v>
      </c>
      <c r="AS215" s="5">
        <f t="shared" si="168"/>
        <v>2.584883958701611</v>
      </c>
      <c r="AT215" s="5">
        <f t="shared" si="169"/>
        <v>2.0203899786786046</v>
      </c>
      <c r="AU215" s="5">
        <f t="shared" si="170"/>
        <v>2</v>
      </c>
      <c r="AV215" s="5">
        <f t="shared" si="171"/>
        <v>3.1640547950648381</v>
      </c>
      <c r="AW215" s="5">
        <f t="shared" si="172"/>
        <v>3.002226291422561</v>
      </c>
      <c r="AX215" s="5">
        <f t="shared" si="173"/>
        <v>4.1057420471110841</v>
      </c>
      <c r="AY215" s="5">
        <f t="shared" si="174"/>
        <v>2.0004572648096821</v>
      </c>
    </row>
    <row r="216">
      <c r="B216" s="4">
        <v>1</v>
      </c>
      <c r="C216" s="4">
        <v>0.14285714285714279</v>
      </c>
      <c r="D216" s="4">
        <v>0.1111111111111111</v>
      </c>
      <c r="E216" s="4">
        <v>4</v>
      </c>
      <c r="F216" s="4">
        <v>1</v>
      </c>
      <c r="G216" s="4">
        <v>1</v>
      </c>
      <c r="H216" s="4">
        <v>0.5</v>
      </c>
      <c r="I216" s="4">
        <v>6</v>
      </c>
      <c r="L216" s="5">
        <f t="shared" si="158"/>
        <v>0.053120849933598939</v>
      </c>
      <c r="M216" s="5">
        <f t="shared" si="159"/>
        <v>0.020140986908358503</v>
      </c>
      <c r="N216" s="5">
        <f t="shared" si="160"/>
        <v>0.0070528967254408059</v>
      </c>
      <c r="O216" s="5">
        <f t="shared" si="161"/>
        <v>0.252986647926915</v>
      </c>
      <c r="P216" s="5">
        <f t="shared" si="162"/>
        <v>0.029055690072639227</v>
      </c>
      <c r="Q216" s="5">
        <f t="shared" si="163"/>
        <v>0.037300177619893425</v>
      </c>
      <c r="R216" s="5">
        <f t="shared" si="164"/>
        <v>0.046094750320102434</v>
      </c>
      <c r="S216" s="6">
        <f t="shared" si="165"/>
        <v>0.20000000000000001</v>
      </c>
      <c r="T216" s="5">
        <f t="shared" si="166"/>
        <v>0.080718999938368535</v>
      </c>
      <c r="W216" s="5">
        <f>1/AA212</f>
        <v>0.63628519592106669</v>
      </c>
      <c r="X216" s="5">
        <f>1/AA213</f>
        <v>0.39685562107774397</v>
      </c>
      <c r="Y216" s="5">
        <f>1/AA214</f>
        <v>0.72644925057504717</v>
      </c>
      <c r="Z216" s="5">
        <f>1/AA215</f>
        <v>2.8079191898791978</v>
      </c>
      <c r="AA216" s="5">
        <v>1</v>
      </c>
      <c r="AB216" s="5">
        <f>(G216*$T$6)/T217</f>
        <v>0.70596839001329181</v>
      </c>
      <c r="AC216" s="5">
        <f>(H216*$T$6)/T218</f>
        <v>0.59290918198295195</v>
      </c>
      <c r="AD216" s="5">
        <f>(I216*$T$6)/T219</f>
        <v>3.7801523840219815</v>
      </c>
      <c r="AG216" s="5">
        <f/>
        <v>1.571622295176035</v>
      </c>
      <c r="AH216" s="5">
        <f/>
        <v>2.5198080785256161</v>
      </c>
      <c r="AI216" s="5">
        <f/>
        <v>1.376558650461011</v>
      </c>
      <c r="AJ216" s="5">
        <f/>
        <v>0.35613560518564003</v>
      </c>
      <c r="AK216" s="5">
        <f/>
        <v>1</v>
      </c>
      <c r="AL216" s="5">
        <f/>
        <v>1.4164940160864321</v>
      </c>
      <c r="AM216" s="5">
        <f/>
        <v>1.6865989436283571</v>
      </c>
      <c r="AN216" s="5">
        <f/>
        <v>0.26453960010364103</v>
      </c>
      <c r="AR216" s="5">
        <f t="shared" si="167"/>
        <v>2.2079074910971017</v>
      </c>
      <c r="AS216" s="5">
        <f t="shared" si="168"/>
        <v>2.9166636996033599</v>
      </c>
      <c r="AT216" s="5">
        <f t="shared" si="169"/>
        <v>2.1030079010360581</v>
      </c>
      <c r="AU216" s="5">
        <f t="shared" si="170"/>
        <v>3.1640547950648377</v>
      </c>
      <c r="AV216" s="5">
        <f t="shared" si="171"/>
        <v>2</v>
      </c>
      <c r="AW216" s="5">
        <f t="shared" si="172"/>
        <v>2.1224624060997241</v>
      </c>
      <c r="AX216" s="5">
        <f t="shared" si="173"/>
        <v>2.2795081256113088</v>
      </c>
      <c r="AY216" s="5">
        <f t="shared" si="174"/>
        <v>4.0446919841256221</v>
      </c>
    </row>
    <row r="217">
      <c r="B217" s="4">
        <v>0.33333333333333331</v>
      </c>
      <c r="C217" s="4">
        <v>3</v>
      </c>
      <c r="D217" s="4">
        <v>0.14285714285714279</v>
      </c>
      <c r="E217" s="4">
        <v>3</v>
      </c>
      <c r="F217" s="4">
        <v>1</v>
      </c>
      <c r="G217" s="4">
        <v>1</v>
      </c>
      <c r="H217" s="4">
        <v>1</v>
      </c>
      <c r="I217" s="4">
        <v>0.16666666666666671</v>
      </c>
      <c r="L217" s="5">
        <f t="shared" si="158"/>
        <v>0.017706949977866312</v>
      </c>
      <c r="M217" s="5">
        <f t="shared" si="159"/>
        <v>0.42296072507552873</v>
      </c>
      <c r="N217" s="5">
        <f t="shared" si="160"/>
        <v>0.0090680100755667469</v>
      </c>
      <c r="O217" s="5">
        <f t="shared" si="161"/>
        <v>0.18973998594518623</v>
      </c>
      <c r="P217" s="5">
        <f t="shared" si="162"/>
        <v>0.029055690072639227</v>
      </c>
      <c r="Q217" s="5">
        <f t="shared" si="163"/>
        <v>0.037300177619893425</v>
      </c>
      <c r="R217" s="5">
        <f t="shared" si="164"/>
        <v>0.092189500640204869</v>
      </c>
      <c r="S217" s="6">
        <f t="shared" si="165"/>
        <v>0.0055555555555555575</v>
      </c>
      <c r="T217" s="5">
        <f t="shared" si="166"/>
        <v>0.10044707437030514</v>
      </c>
      <c r="W217" s="5">
        <f>1/AB212</f>
        <v>0.2639320211441632</v>
      </c>
      <c r="X217" s="5">
        <f>1/AB213</f>
        <v>1.4815465794338289</v>
      </c>
      <c r="Y217" s="5">
        <f>1/AB214</f>
        <v>0.12914237213486437</v>
      </c>
      <c r="Z217" s="5">
        <f>1/AB215</f>
        <v>2.6206401334285108</v>
      </c>
      <c r="AA217" s="5">
        <f>1/AB216</f>
        <v>1.4164940160864317</v>
      </c>
      <c r="AB217" s="5">
        <v>1</v>
      </c>
      <c r="AC217" s="5">
        <f>(H217*$T$7)/T218</f>
        <v>1.8728217542428018</v>
      </c>
      <c r="AD217" s="5">
        <f>(I217*$T$7)/T219</f>
        <v>0.16583839280860271</v>
      </c>
      <c r="AG217" s="5">
        <f/>
        <v>3.788854401466454</v>
      </c>
      <c r="AH217" s="5">
        <f/>
        <v>0.67497034104870912</v>
      </c>
      <c r="AI217" s="5">
        <f/>
        <v>7.7433919128858211</v>
      </c>
      <c r="AJ217" s="5">
        <f/>
        <v>0.38158615799404999</v>
      </c>
      <c r="AK217" s="5">
        <f/>
        <v>0.70596839001329181</v>
      </c>
      <c r="AL217" s="5">
        <f/>
        <v>1</v>
      </c>
      <c r="AM217" s="5">
        <f/>
        <v>0.53395364387162869</v>
      </c>
      <c r="AN217" s="5">
        <f/>
        <v>6.0299667831086596</v>
      </c>
      <c r="AR217" s="5">
        <f t="shared" si="167"/>
        <v>4.0527864226106169</v>
      </c>
      <c r="AS217" s="5">
        <f t="shared" si="168"/>
        <v>2.1565169204825381</v>
      </c>
      <c r="AT217" s="5">
        <f t="shared" si="169"/>
        <v>7.8725342850206852</v>
      </c>
      <c r="AU217" s="5">
        <f t="shared" si="170"/>
        <v>3.0022262914225606</v>
      </c>
      <c r="AV217" s="5">
        <f t="shared" si="171"/>
        <v>2.1224624060997233</v>
      </c>
      <c r="AW217" s="5">
        <f t="shared" si="172"/>
        <v>2</v>
      </c>
      <c r="AX217" s="5">
        <f t="shared" si="173"/>
        <v>2.4067753981144304</v>
      </c>
      <c r="AY217" s="5">
        <f t="shared" si="174"/>
        <v>6.1958051759172621</v>
      </c>
    </row>
    <row r="218">
      <c r="B218" s="4">
        <v>1</v>
      </c>
      <c r="C218" s="4">
        <v>1</v>
      </c>
      <c r="D218" s="4">
        <v>0.5</v>
      </c>
      <c r="E218" s="4">
        <v>0.5</v>
      </c>
      <c r="F218" s="4">
        <v>2</v>
      </c>
      <c r="G218" s="4">
        <v>1</v>
      </c>
      <c r="H218" s="4">
        <v>1</v>
      </c>
      <c r="I218" s="4">
        <v>1</v>
      </c>
      <c r="L218" s="5">
        <f t="shared" si="158"/>
        <v>0.053120849933598939</v>
      </c>
      <c r="M218" s="5">
        <f t="shared" si="159"/>
        <v>0.14098690835850958</v>
      </c>
      <c r="N218" s="5">
        <f t="shared" si="160"/>
        <v>0.031738035264483627</v>
      </c>
      <c r="O218" s="5">
        <f t="shared" si="161"/>
        <v>0.031623330990864375</v>
      </c>
      <c r="P218" s="5">
        <f t="shared" si="162"/>
        <v>0.058111380145278453</v>
      </c>
      <c r="Q218" s="5">
        <f t="shared" si="163"/>
        <v>0.037300177619893425</v>
      </c>
      <c r="R218" s="5">
        <f t="shared" si="164"/>
        <v>0.092189500640204869</v>
      </c>
      <c r="S218" s="6">
        <f t="shared" si="165"/>
        <v>0.033333333333333333</v>
      </c>
      <c r="T218" s="5">
        <f t="shared" si="166"/>
        <v>0.05980043953577082</v>
      </c>
      <c r="W218" s="5">
        <f>1/AC212</f>
        <v>0.47139006200815547</v>
      </c>
      <c r="X218" s="5">
        <f>1/AC213</f>
        <v>0.29400934836668724</v>
      </c>
      <c r="Y218" s="5">
        <f>1/AC214</f>
        <v>0.26909392161689588</v>
      </c>
      <c r="Z218" s="5">
        <f>1/AC215</f>
        <v>0.26002985954965641</v>
      </c>
      <c r="AA218" s="5">
        <f>1/AC216</f>
        <v>1.6865989436283568</v>
      </c>
      <c r="AB218" s="5">
        <f>1/AC217</f>
        <v>0.53395364387162869</v>
      </c>
      <c r="AC218" s="5">
        <v>1</v>
      </c>
      <c r="AD218" s="5">
        <f>(I218*T218)/T219</f>
        <v>0.53130008480380742</v>
      </c>
      <c r="AG218" s="5">
        <f/>
        <v>2.121385410078287</v>
      </c>
      <c r="AH218" s="5">
        <f/>
        <v>3.4012523940320571</v>
      </c>
      <c r="AI218" s="5">
        <f/>
        <v>3.7161746129059048</v>
      </c>
      <c r="AJ218" s="5">
        <f/>
        <v>3.845712187561428</v>
      </c>
      <c r="AK218" s="5">
        <f/>
        <v>0.59290918198295195</v>
      </c>
      <c r="AL218" s="5">
        <f/>
        <v>1.8728217542428021</v>
      </c>
      <c r="AM218" s="5">
        <f/>
        <v>1</v>
      </c>
      <c r="AN218" s="5">
        <f/>
        <v>1.8821754947945639</v>
      </c>
      <c r="AR218" s="5">
        <f t="shared" si="167"/>
        <v>2.5927754720864424</v>
      </c>
      <c r="AS218" s="5">
        <f t="shared" si="168"/>
        <v>3.6952617423987446</v>
      </c>
      <c r="AT218" s="5">
        <f t="shared" si="169"/>
        <v>3.9852685345228007</v>
      </c>
      <c r="AU218" s="5">
        <f t="shared" si="170"/>
        <v>4.1057420471110841</v>
      </c>
      <c r="AV218" s="5">
        <f t="shared" si="171"/>
        <v>2.2795081256113088</v>
      </c>
      <c r="AW218" s="5">
        <f t="shared" si="172"/>
        <v>2.4067753981144309</v>
      </c>
      <c r="AX218" s="5">
        <f t="shared" si="173"/>
        <v>2</v>
      </c>
      <c r="AY218" s="5">
        <f t="shared" si="174"/>
        <v>2.4134755795983711</v>
      </c>
    </row>
    <row r="219">
      <c r="B219" s="10">
        <v>0.20000000000000001</v>
      </c>
      <c r="C219" s="10">
        <v>2</v>
      </c>
      <c r="D219" s="10">
        <v>3</v>
      </c>
      <c r="E219" s="10">
        <v>1</v>
      </c>
      <c r="F219" s="10">
        <v>0.16666666666666671</v>
      </c>
      <c r="G219" s="10">
        <v>6</v>
      </c>
      <c r="H219" s="10">
        <v>1</v>
      </c>
      <c r="I219" s="10">
        <v>1</v>
      </c>
      <c r="L219" s="5">
        <f t="shared" si="158"/>
        <v>0.010624169986719788</v>
      </c>
      <c r="M219" s="5">
        <f t="shared" si="159"/>
        <v>0.28197381671701915</v>
      </c>
      <c r="N219" s="5">
        <f t="shared" si="160"/>
        <v>0.19042821158690176</v>
      </c>
      <c r="O219" s="5">
        <f t="shared" si="161"/>
        <v>0.06324666198172875</v>
      </c>
      <c r="P219" s="5">
        <f t="shared" si="162"/>
        <v>0.0048426150121065395</v>
      </c>
      <c r="Q219" s="5">
        <f t="shared" si="163"/>
        <v>0.22380106571936056</v>
      </c>
      <c r="R219" s="5">
        <f t="shared" si="164"/>
        <v>0.092189500640204869</v>
      </c>
      <c r="S219" s="6">
        <f t="shared" si="165"/>
        <v>0.033333333333333333</v>
      </c>
      <c r="T219" s="5">
        <f t="shared" si="166"/>
        <v>0.11255492187217185</v>
      </c>
      <c r="W219" s="5">
        <f>1/AD212</f>
        <v>0.17744776464028805</v>
      </c>
      <c r="X219" s="5">
        <f>1/AD213</f>
        <v>1.106754381472594</v>
      </c>
      <c r="Y219" s="5">
        <f>1/AD214</f>
        <v>3.0388919103929437</v>
      </c>
      <c r="Z219" s="5">
        <f>1/AD215</f>
        <v>0.97884365911847115</v>
      </c>
      <c r="AA219" s="5">
        <f>1/AD216</f>
        <v>0.26453960010364097</v>
      </c>
      <c r="AB219" s="5">
        <f>1/AD217</f>
        <v>6.029966783108657</v>
      </c>
      <c r="AC219" s="5">
        <f>1/AD218</f>
        <v>1.8821754947945639</v>
      </c>
      <c r="AD219" s="5">
        <v>1</v>
      </c>
      <c r="AG219" s="5">
        <f/>
        <v>5.6354612413807681</v>
      </c>
      <c r="AH219" s="5">
        <f/>
        <v>0.90354284269419227</v>
      </c>
      <c r="AI219" s="5">
        <f/>
        <v>0.32906731449711057</v>
      </c>
      <c r="AJ219" s="5">
        <f/>
        <v>1.0216136056912111</v>
      </c>
      <c r="AK219" s="5">
        <f/>
        <v>3.7801523840219819</v>
      </c>
      <c r="AL219" s="5">
        <f/>
        <v>0.16583839280860271</v>
      </c>
      <c r="AM219" s="5">
        <f/>
        <v>0.53130008480380742</v>
      </c>
      <c r="AN219" s="5">
        <f/>
        <v>1</v>
      </c>
      <c r="AR219" s="5">
        <f t="shared" si="167"/>
        <v>5.812909006021056</v>
      </c>
      <c r="AS219" s="5">
        <f t="shared" si="168"/>
        <v>2.010297224166786</v>
      </c>
      <c r="AT219" s="5">
        <f t="shared" si="169"/>
        <v>3.3679592248900541</v>
      </c>
      <c r="AU219" s="5">
        <f t="shared" si="170"/>
        <v>2.0004572648096821</v>
      </c>
      <c r="AV219" s="5">
        <f t="shared" si="171"/>
        <v>4.044691984125623</v>
      </c>
      <c r="AW219" s="5">
        <f t="shared" si="172"/>
        <v>6.1958051759172594</v>
      </c>
      <c r="AX219" s="5">
        <f t="shared" si="173"/>
        <v>2.4134755795983711</v>
      </c>
      <c r="AY219" s="5">
        <f t="shared" si="174"/>
        <v>2</v>
      </c>
    </row>
    <row r="220">
      <c r="A220" s="2" t="s">
        <v>6</v>
      </c>
      <c r="B220" s="11">
        <f>SUM(B212:B219)</f>
        <v>11.700000000000001</v>
      </c>
      <c r="C220" s="11">
        <f>SUM(C212:C219)</f>
        <v>9.4761904761904763</v>
      </c>
      <c r="D220" s="11">
        <f>SUM(D212:D219)</f>
        <v>12.753968253968253</v>
      </c>
      <c r="E220" s="11">
        <f>SUM(E212:E219)</f>
        <v>11.699999999999999</v>
      </c>
      <c r="F220" s="11">
        <f>SUM(F212:F219)</f>
        <v>7.416666666666667</v>
      </c>
      <c r="G220" s="11">
        <f>SUM(G212:G219)</f>
        <v>19.666666666666668</v>
      </c>
      <c r="H220" s="11">
        <f>SUM(H212:H219)</f>
        <v>9.5</v>
      </c>
      <c r="I220" s="11">
        <f>SUM(I212:I219)</f>
        <v>14.999999999999998</v>
      </c>
    </row>
    <row r="222">
      <c r="B222" s="2" t="s">
        <v>7</v>
      </c>
      <c r="C222" s="2">
        <f>B220*T212+C220*T213+D220*T214+E220*T215+F220*T216+G220*T217+H220*T218+I220*T219</f>
        <v>9.1634996078171866</v>
      </c>
    </row>
    <row r="223">
      <c r="B223" s="2" t="s">
        <v>8</v>
      </c>
      <c r="C223" s="2">
        <f>(C222-8)/7</f>
        <v>0.16621422968816951</v>
      </c>
    </row>
    <row r="224">
      <c r="B224" s="2" t="s">
        <v>9</v>
      </c>
      <c r="C224" s="2">
        <f>C223/1.41</f>
        <v>0.11788243240295711</v>
      </c>
    </row>
    <row r="230">
      <c r="A230" s="2" t="s">
        <v>32</v>
      </c>
    </row>
    <row r="231">
      <c r="T231" s="12" t="s">
        <v>3</v>
      </c>
    </row>
    <row r="232">
      <c r="B232" s="4">
        <v>1</v>
      </c>
      <c r="C232" s="4">
        <v>0.33333333333333331</v>
      </c>
      <c r="D232" s="4">
        <v>1</v>
      </c>
      <c r="E232" s="4">
        <v>0.20000000000000001</v>
      </c>
      <c r="F232" s="4">
        <v>1</v>
      </c>
      <c r="G232" s="4">
        <v>3</v>
      </c>
      <c r="H232" s="4">
        <v>1</v>
      </c>
      <c r="I232" s="4">
        <v>5</v>
      </c>
      <c r="L232" s="5">
        <f t="shared" ref="L232:L239" si="175">B232/$B$10</f>
        <v>0.053120849933598939</v>
      </c>
      <c r="M232" s="5">
        <f t="shared" ref="M232:M239" si="176">C232/$C$10</f>
        <v>0.046995636119503185</v>
      </c>
      <c r="N232" s="5">
        <f t="shared" ref="N232:N239" si="177">D232/$D$10</f>
        <v>0.063476070528967254</v>
      </c>
      <c r="O232" s="5">
        <f t="shared" ref="O232:O239" si="178">E232/$E$10</f>
        <v>0.012649332396345751</v>
      </c>
      <c r="P232" s="5">
        <f t="shared" ref="P232:P239" si="179">F232/$F$10</f>
        <v>0.029055690072639227</v>
      </c>
      <c r="Q232" s="5">
        <f t="shared" ref="Q232:Q239" si="180">G232/$G$10</f>
        <v>0.11190053285968028</v>
      </c>
      <c r="R232" s="5">
        <f t="shared" ref="R232:R239" si="181">H232/$H$10</f>
        <v>0.092189500640204869</v>
      </c>
      <c r="S232" s="6">
        <f t="shared" ref="S232:S239" si="182">I232/$I$10</f>
        <v>0.16666666666666666</v>
      </c>
      <c r="T232" s="5">
        <f t="shared" ref="T232:T239" si="183">AVERAGE(L232:S232)</f>
        <v>0.072006784902200777</v>
      </c>
      <c r="W232" s="5">
        <v>1</v>
      </c>
      <c r="X232" s="5">
        <f>(C232*$T$2)/T233</f>
        <v>0.58587206195431651</v>
      </c>
      <c r="Y232" s="5">
        <f>(D232*$T$2)/T234</f>
        <v>1.2584085650424779</v>
      </c>
      <c r="Z232" s="5">
        <f>(E232*$T$2)/T235</f>
        <v>0.26335727057313618</v>
      </c>
      <c r="AA232" s="5">
        <f>(F232*$T$2)/T236</f>
        <v>1.571622295176035</v>
      </c>
      <c r="AB232" s="5">
        <f>(G232*$T$2)/T237</f>
        <v>3.7888544014664545</v>
      </c>
      <c r="AC232" s="5">
        <f>(H232*$T$2)/T238</f>
        <v>2.121385410078287</v>
      </c>
      <c r="AD232" s="5">
        <f>(I232*$T$2)/T239</f>
        <v>5.6354612413807681</v>
      </c>
      <c r="AG232" s="5">
        <f t="array" ref="AG232:AN239">TRANSPOSE(W232:AD239)</f>
        <v>1</v>
      </c>
      <c r="AH232" s="5">
        <f/>
        <v>1.7068572900784185</v>
      </c>
      <c r="AI232" s="5">
        <f/>
        <v>0.79465447691564683</v>
      </c>
      <c r="AJ232" s="5">
        <f/>
        <v>3.7971231924743574</v>
      </c>
      <c r="AK232" s="5">
        <f/>
        <v>0.63628519592106669</v>
      </c>
      <c r="AL232" s="5">
        <f/>
        <v>0.2639320211441632</v>
      </c>
      <c r="AM232" s="5">
        <f/>
        <v>0.47139006200815547</v>
      </c>
      <c r="AN232" s="5">
        <f/>
        <v>0.17744776464028805</v>
      </c>
      <c r="AR232" s="5">
        <f t="shared" ref="AR232:AR239" si="184">W232+AG232</f>
        <v>2</v>
      </c>
      <c r="AS232" s="5">
        <f t="shared" ref="AS232:AS239" si="185">X232+AH232</f>
        <v>2.292729352032735</v>
      </c>
      <c r="AT232" s="5">
        <f t="shared" ref="AT232:AT239" si="186">Y232+AI232</f>
        <v>2.0530630419581248</v>
      </c>
      <c r="AU232" s="5">
        <f t="shared" ref="AU232:AU239" si="187">Z232+AJ232</f>
        <v>4.0604804630474938</v>
      </c>
      <c r="AV232" s="5">
        <f t="shared" ref="AV232:AV239" si="188">AA232+AK232</f>
        <v>2.2079074910971017</v>
      </c>
      <c r="AW232" s="5">
        <f t="shared" ref="AW232:AW239" si="189">AB232+AL232</f>
        <v>4.0527864226106178</v>
      </c>
      <c r="AX232" s="5">
        <f t="shared" ref="AX232:AX239" si="190">AC232+AM232</f>
        <v>2.5927754720864424</v>
      </c>
      <c r="AY232" s="5">
        <f t="shared" ref="AY232:AY239" si="191">AD232+AN232</f>
        <v>5.812909006021056</v>
      </c>
    </row>
    <row r="233">
      <c r="B233" s="4">
        <v>3</v>
      </c>
      <c r="C233" s="4">
        <v>1</v>
      </c>
      <c r="D233" s="4">
        <v>1</v>
      </c>
      <c r="E233" s="4">
        <v>1</v>
      </c>
      <c r="F233" s="4">
        <v>1</v>
      </c>
      <c r="G233" s="4">
        <v>0.33333333333333331</v>
      </c>
      <c r="H233" s="4">
        <v>1</v>
      </c>
      <c r="I233" s="4">
        <v>0.5</v>
      </c>
      <c r="L233" s="5">
        <f t="shared" si="175"/>
        <v>0.15936254980079681</v>
      </c>
      <c r="M233" s="5">
        <f t="shared" si="176"/>
        <v>0.14098690835850958</v>
      </c>
      <c r="N233" s="5">
        <f t="shared" si="177"/>
        <v>0.063476070528967254</v>
      </c>
      <c r="O233" s="5">
        <f t="shared" si="178"/>
        <v>0.06324666198172875</v>
      </c>
      <c r="P233" s="5">
        <f t="shared" si="179"/>
        <v>0.029055690072639227</v>
      </c>
      <c r="Q233" s="5">
        <f t="shared" si="180"/>
        <v>0.012433392539964476</v>
      </c>
      <c r="R233" s="5">
        <f t="shared" si="181"/>
        <v>0.092189500640204869</v>
      </c>
      <c r="S233" s="6">
        <f t="shared" si="182"/>
        <v>0.016666666666666666</v>
      </c>
      <c r="T233" s="5">
        <f t="shared" si="183"/>
        <v>0.072177180073684705</v>
      </c>
      <c r="W233" s="5">
        <f>1/X232</f>
        <v>1.7068572900784185</v>
      </c>
      <c r="X233" s="5">
        <v>1</v>
      </c>
      <c r="Y233" s="5">
        <f>(D233*$T$3)/T234</f>
        <v>2.0176273128809812</v>
      </c>
      <c r="Z233" s="5">
        <f>(E233*$T$3)/T235</f>
        <v>2.1112253878223175</v>
      </c>
      <c r="AA233" s="5">
        <f>(F233*$T$3)/T236</f>
        <v>2.5198080785256161</v>
      </c>
      <c r="AB233" s="5">
        <f>(G233*$T$3)/T237</f>
        <v>0.67497034104870912</v>
      </c>
      <c r="AC233" s="5">
        <f>(H233*$T$3)/T238</f>
        <v>3.4012523940320567</v>
      </c>
      <c r="AD233" s="5">
        <f>(I233*$T$3)/T239</f>
        <v>0.90354284269419227</v>
      </c>
      <c r="AG233" s="5">
        <f/>
        <v>0.58587206195431651</v>
      </c>
      <c r="AH233" s="5">
        <f/>
        <v>1</v>
      </c>
      <c r="AI233" s="5">
        <f/>
        <v>0.4956316727156585</v>
      </c>
      <c r="AJ233" s="5">
        <f/>
        <v>0.47365857087929297</v>
      </c>
      <c r="AK233" s="5">
        <f/>
        <v>0.39685562107774397</v>
      </c>
      <c r="AL233" s="5">
        <f/>
        <v>1.4815465794338289</v>
      </c>
      <c r="AM233" s="5">
        <f/>
        <v>0.29400934836668724</v>
      </c>
      <c r="AN233" s="5">
        <f/>
        <v>1.106754381472594</v>
      </c>
      <c r="AR233" s="5">
        <f t="shared" si="184"/>
        <v>2.292729352032735</v>
      </c>
      <c r="AS233" s="5">
        <f t="shared" si="185"/>
        <v>2</v>
      </c>
      <c r="AT233" s="5">
        <f t="shared" si="186"/>
        <v>2.5132589855966398</v>
      </c>
      <c r="AU233" s="5">
        <f t="shared" si="187"/>
        <v>2.5848839587016106</v>
      </c>
      <c r="AV233" s="5">
        <f t="shared" si="188"/>
        <v>2.9166636996033599</v>
      </c>
      <c r="AW233" s="5">
        <f t="shared" si="189"/>
        <v>2.1565169204825381</v>
      </c>
      <c r="AX233" s="5">
        <f t="shared" si="190"/>
        <v>3.6952617423987437</v>
      </c>
      <c r="AY233" s="5">
        <f t="shared" si="191"/>
        <v>2.010297224166786</v>
      </c>
    </row>
    <row r="234">
      <c r="B234" s="4">
        <v>1</v>
      </c>
      <c r="C234" s="4">
        <v>1</v>
      </c>
      <c r="D234" s="4">
        <v>1</v>
      </c>
      <c r="E234" s="4">
        <v>1</v>
      </c>
      <c r="F234" s="4">
        <v>1</v>
      </c>
      <c r="G234" s="4">
        <v>7</v>
      </c>
      <c r="H234" s="4">
        <v>2</v>
      </c>
      <c r="I234" s="4">
        <v>0.33333333333333331</v>
      </c>
      <c r="L234" s="5">
        <f t="shared" si="175"/>
        <v>0.053120849933598939</v>
      </c>
      <c r="M234" s="5">
        <f t="shared" si="176"/>
        <v>0.14098690835850958</v>
      </c>
      <c r="N234" s="5">
        <f t="shared" si="177"/>
        <v>0.063476070528967254</v>
      </c>
      <c r="O234" s="5">
        <f t="shared" si="178"/>
        <v>0.06324666198172875</v>
      </c>
      <c r="P234" s="5">
        <f t="shared" si="179"/>
        <v>0.029055690072639227</v>
      </c>
      <c r="Q234" s="5">
        <f t="shared" si="180"/>
        <v>0.261101243339254</v>
      </c>
      <c r="R234" s="5">
        <f t="shared" si="181"/>
        <v>0.18437900128040974</v>
      </c>
      <c r="S234" s="6">
        <f t="shared" si="182"/>
        <v>0.01111111111111111</v>
      </c>
      <c r="T234" s="5">
        <f t="shared" si="183"/>
        <v>0.10080969207577732</v>
      </c>
      <c r="W234" s="5">
        <f>1/Y232</f>
        <v>0.79465447691564683</v>
      </c>
      <c r="X234" s="5">
        <f>1/Y233</f>
        <v>0.4956316727156585</v>
      </c>
      <c r="Y234" s="5">
        <v>1</v>
      </c>
      <c r="Z234" s="5">
        <f>(E234*$T$4)/T235</f>
        <v>1.153351953844119</v>
      </c>
      <c r="AA234" s="5">
        <f>(F234*$T$4)/T236</f>
        <v>1.3765586504610114</v>
      </c>
      <c r="AB234" s="5">
        <f>(G234*$T$4)/T237</f>
        <v>7.7433919128858211</v>
      </c>
      <c r="AC234" s="5">
        <f>(H234*$T$4)/T238</f>
        <v>3.7161746129059052</v>
      </c>
      <c r="AD234" s="5">
        <f>(I234*$T$4)/T239</f>
        <v>0.32906731449711057</v>
      </c>
      <c r="AG234" s="5">
        <f/>
        <v>1.2584085650424779</v>
      </c>
      <c r="AH234" s="5">
        <f/>
        <v>2.0176273128809812</v>
      </c>
      <c r="AI234" s="5">
        <f/>
        <v>1</v>
      </c>
      <c r="AJ234" s="5">
        <f/>
        <v>0.86703802483448578</v>
      </c>
      <c r="AK234" s="5">
        <f/>
        <v>0.72644925057504717</v>
      </c>
      <c r="AL234" s="5">
        <f/>
        <v>0.12914237213486437</v>
      </c>
      <c r="AM234" s="5">
        <f/>
        <v>0.26909392161689588</v>
      </c>
      <c r="AN234" s="5">
        <f/>
        <v>3.0388919103929437</v>
      </c>
      <c r="AR234" s="5">
        <f t="shared" si="184"/>
        <v>2.0530630419581248</v>
      </c>
      <c r="AS234" s="5">
        <f t="shared" si="185"/>
        <v>2.5132589855966398</v>
      </c>
      <c r="AT234" s="5">
        <f t="shared" si="186"/>
        <v>2</v>
      </c>
      <c r="AU234" s="5">
        <f t="shared" si="187"/>
        <v>2.0203899786786046</v>
      </c>
      <c r="AV234" s="5">
        <f t="shared" si="188"/>
        <v>2.1030079010360585</v>
      </c>
      <c r="AW234" s="5">
        <f t="shared" si="189"/>
        <v>7.8725342850206852</v>
      </c>
      <c r="AX234" s="5">
        <f t="shared" si="190"/>
        <v>3.9852685345228012</v>
      </c>
      <c r="AY234" s="5">
        <f t="shared" si="191"/>
        <v>3.3679592248900541</v>
      </c>
    </row>
    <row r="235" ht="18.75" customHeight="1">
      <c r="B235" s="4">
        <v>5</v>
      </c>
      <c r="C235" s="4">
        <v>1</v>
      </c>
      <c r="D235" s="4">
        <v>1</v>
      </c>
      <c r="E235" s="4">
        <v>1</v>
      </c>
      <c r="F235" s="4">
        <v>0.25</v>
      </c>
      <c r="G235" s="4">
        <v>0.33333333333333331</v>
      </c>
      <c r="H235" s="4">
        <v>2</v>
      </c>
      <c r="I235" s="4">
        <v>1</v>
      </c>
      <c r="L235" s="5">
        <f t="shared" si="175"/>
        <v>0.26560424966799467</v>
      </c>
      <c r="M235" s="5">
        <f t="shared" si="176"/>
        <v>0.14098690835850958</v>
      </c>
      <c r="N235" s="5">
        <f t="shared" si="177"/>
        <v>0.063476070528967254</v>
      </c>
      <c r="O235" s="5">
        <f t="shared" si="178"/>
        <v>0.06324666198172875</v>
      </c>
      <c r="P235" s="5">
        <f t="shared" si="179"/>
        <v>0.0072639225181598066</v>
      </c>
      <c r="Q235" s="5">
        <f t="shared" si="180"/>
        <v>0.012433392539964476</v>
      </c>
      <c r="R235" s="5">
        <f t="shared" si="181"/>
        <v>0.18437900128040974</v>
      </c>
      <c r="S235" s="6">
        <f t="shared" si="182"/>
        <v>0.033333333333333333</v>
      </c>
      <c r="T235" s="5">
        <f t="shared" si="183"/>
        <v>0.096340442526133441</v>
      </c>
      <c r="W235" s="5">
        <f>1/Z232</f>
        <v>3.7971231924743574</v>
      </c>
      <c r="X235" s="5">
        <f>1/Z233</f>
        <v>0.47365857087929297</v>
      </c>
      <c r="Y235" s="5">
        <f>1/Z234</f>
        <v>0.86703802483448578</v>
      </c>
      <c r="Z235" s="5">
        <v>1</v>
      </c>
      <c r="AA235" s="5">
        <f>(F235*$T$5)/T236</f>
        <v>0.35613560518563997</v>
      </c>
      <c r="AB235" s="5">
        <f>(G235*$T$5)/T237</f>
        <v>0.38158615799404999</v>
      </c>
      <c r="AC235" s="5">
        <f>(H235*$T$5)/T238</f>
        <v>3.845712187561428</v>
      </c>
      <c r="AD235" s="5">
        <f>(I235*$T$5)/T239</f>
        <v>1.0216136056912111</v>
      </c>
      <c r="AF235" s="2" t="s">
        <v>4</v>
      </c>
      <c r="AG235" s="5">
        <f/>
        <v>0.26335727057313618</v>
      </c>
      <c r="AH235" s="5">
        <f/>
        <v>2.1112253878223175</v>
      </c>
      <c r="AI235" s="5">
        <f/>
        <v>1.153351953844119</v>
      </c>
      <c r="AJ235" s="5">
        <f/>
        <v>1</v>
      </c>
      <c r="AK235" s="5">
        <f/>
        <v>2.8079191898791978</v>
      </c>
      <c r="AL235" s="5">
        <f/>
        <v>2.6206401334285108</v>
      </c>
      <c r="AM235" s="5">
        <f/>
        <v>0.26002985954965641</v>
      </c>
      <c r="AN235" s="5">
        <f/>
        <v>0.97884365911847115</v>
      </c>
      <c r="AP235" s="8" t="s">
        <v>5</v>
      </c>
      <c r="AR235" s="5">
        <f t="shared" si="184"/>
        <v>4.0604804630474938</v>
      </c>
      <c r="AS235" s="5">
        <f t="shared" si="185"/>
        <v>2.5848839587016106</v>
      </c>
      <c r="AT235" s="5">
        <f t="shared" si="186"/>
        <v>2.0203899786786046</v>
      </c>
      <c r="AU235" s="5">
        <f t="shared" si="187"/>
        <v>2</v>
      </c>
      <c r="AV235" s="5">
        <f t="shared" si="188"/>
        <v>3.1640547950648377</v>
      </c>
      <c r="AW235" s="5">
        <f t="shared" si="189"/>
        <v>3.0022262914225606</v>
      </c>
      <c r="AX235" s="5">
        <f t="shared" si="190"/>
        <v>4.1057420471110841</v>
      </c>
      <c r="AY235" s="5">
        <f t="shared" si="191"/>
        <v>2.0004572648096821</v>
      </c>
    </row>
    <row r="236">
      <c r="B236" s="4">
        <v>1</v>
      </c>
      <c r="C236" s="4">
        <v>0.14285714285714279</v>
      </c>
      <c r="D236" s="4">
        <v>0.1111111111111111</v>
      </c>
      <c r="E236" s="4">
        <v>4</v>
      </c>
      <c r="F236" s="4">
        <v>1</v>
      </c>
      <c r="G236" s="4">
        <v>1</v>
      </c>
      <c r="H236" s="4">
        <v>0.5</v>
      </c>
      <c r="I236" s="4">
        <v>6</v>
      </c>
      <c r="L236" s="5">
        <f t="shared" si="175"/>
        <v>0.053120849933598939</v>
      </c>
      <c r="M236" s="5">
        <f t="shared" si="176"/>
        <v>0.020140986908358503</v>
      </c>
      <c r="N236" s="5">
        <f t="shared" si="177"/>
        <v>0.0070528967254408059</v>
      </c>
      <c r="O236" s="5">
        <f t="shared" si="178"/>
        <v>0.252986647926915</v>
      </c>
      <c r="P236" s="5">
        <f t="shared" si="179"/>
        <v>0.029055690072639227</v>
      </c>
      <c r="Q236" s="5">
        <f t="shared" si="180"/>
        <v>0.037300177619893425</v>
      </c>
      <c r="R236" s="5">
        <f t="shared" si="181"/>
        <v>0.046094750320102434</v>
      </c>
      <c r="S236" s="6">
        <f t="shared" si="182"/>
        <v>0.20000000000000001</v>
      </c>
      <c r="T236" s="5">
        <f t="shared" si="183"/>
        <v>0.080718999938368535</v>
      </c>
      <c r="W236" s="5">
        <f>1/AA232</f>
        <v>0.63628519592106669</v>
      </c>
      <c r="X236" s="5">
        <f>1/AA233</f>
        <v>0.39685562107774397</v>
      </c>
      <c r="Y236" s="5">
        <f>1/AA234</f>
        <v>0.72644925057504717</v>
      </c>
      <c r="Z236" s="5">
        <f>1/AA235</f>
        <v>2.8079191898791978</v>
      </c>
      <c r="AA236" s="5">
        <v>1</v>
      </c>
      <c r="AB236" s="5">
        <f>(G236*$T$6)/T237</f>
        <v>0.70596839001329181</v>
      </c>
      <c r="AC236" s="5">
        <f>(H236*$T$6)/T238</f>
        <v>0.59290918198295195</v>
      </c>
      <c r="AD236" s="5">
        <f>(I236*$T$6)/T239</f>
        <v>3.7801523840219815</v>
      </c>
      <c r="AG236" s="5">
        <f/>
        <v>1.571622295176035</v>
      </c>
      <c r="AH236" s="5">
        <f/>
        <v>2.5198080785256161</v>
      </c>
      <c r="AI236" s="5">
        <f/>
        <v>1.3765586504610114</v>
      </c>
      <c r="AJ236" s="5">
        <f/>
        <v>0.35613560518563997</v>
      </c>
      <c r="AK236" s="5">
        <f/>
        <v>1</v>
      </c>
      <c r="AL236" s="5">
        <f/>
        <v>1.4164940160864317</v>
      </c>
      <c r="AM236" s="5">
        <f/>
        <v>1.6865989436283568</v>
      </c>
      <c r="AN236" s="5">
        <f/>
        <v>0.26453960010364097</v>
      </c>
      <c r="AR236" s="5">
        <f t="shared" si="184"/>
        <v>2.2079074910971017</v>
      </c>
      <c r="AS236" s="5">
        <f t="shared" si="185"/>
        <v>2.9166636996033599</v>
      </c>
      <c r="AT236" s="5">
        <f t="shared" si="186"/>
        <v>2.1030079010360585</v>
      </c>
      <c r="AU236" s="5">
        <f t="shared" si="187"/>
        <v>3.1640547950648377</v>
      </c>
      <c r="AV236" s="5">
        <f t="shared" si="188"/>
        <v>2</v>
      </c>
      <c r="AW236" s="5">
        <f t="shared" si="189"/>
        <v>2.1224624060997233</v>
      </c>
      <c r="AX236" s="5">
        <f t="shared" si="190"/>
        <v>2.2795081256113088</v>
      </c>
      <c r="AY236" s="5">
        <f t="shared" si="191"/>
        <v>4.0446919841256221</v>
      </c>
    </row>
    <row r="237">
      <c r="B237" s="4">
        <v>0.33333333333333331</v>
      </c>
      <c r="C237" s="4">
        <v>3</v>
      </c>
      <c r="D237" s="4">
        <v>0.14285714285714279</v>
      </c>
      <c r="E237" s="4">
        <v>3</v>
      </c>
      <c r="F237" s="4">
        <v>1</v>
      </c>
      <c r="G237" s="4">
        <v>1</v>
      </c>
      <c r="H237" s="4">
        <v>1</v>
      </c>
      <c r="I237" s="4">
        <v>0.16666666666666671</v>
      </c>
      <c r="L237" s="5">
        <f t="shared" si="175"/>
        <v>0.017706949977866312</v>
      </c>
      <c r="M237" s="5">
        <f t="shared" si="176"/>
        <v>0.42296072507552873</v>
      </c>
      <c r="N237" s="5">
        <f t="shared" si="177"/>
        <v>0.0090680100755667469</v>
      </c>
      <c r="O237" s="5">
        <f t="shared" si="178"/>
        <v>0.18973998594518623</v>
      </c>
      <c r="P237" s="5">
        <f t="shared" si="179"/>
        <v>0.029055690072639227</v>
      </c>
      <c r="Q237" s="5">
        <f t="shared" si="180"/>
        <v>0.037300177619893425</v>
      </c>
      <c r="R237" s="5">
        <f t="shared" si="181"/>
        <v>0.092189500640204869</v>
      </c>
      <c r="S237" s="6">
        <f t="shared" si="182"/>
        <v>0.0055555555555555575</v>
      </c>
      <c r="T237" s="5">
        <f t="shared" si="183"/>
        <v>0.10044707437030514</v>
      </c>
      <c r="W237" s="5">
        <f>1/AB232</f>
        <v>0.2639320211441632</v>
      </c>
      <c r="X237" s="5">
        <f>1/AB233</f>
        <v>1.4815465794338289</v>
      </c>
      <c r="Y237" s="5">
        <f>1/AB234</f>
        <v>0.12914237213486437</v>
      </c>
      <c r="Z237" s="5">
        <f>1/AB235</f>
        <v>2.6206401334285108</v>
      </c>
      <c r="AA237" s="5">
        <f>1/AB236</f>
        <v>1.4164940160864317</v>
      </c>
      <c r="AB237" s="5">
        <v>1</v>
      </c>
      <c r="AC237" s="5">
        <f>(H237*$T$7)/T238</f>
        <v>1.8728217542428018</v>
      </c>
      <c r="AD237" s="5">
        <f>(I237*$T$7)/T239</f>
        <v>0.16583839280860271</v>
      </c>
      <c r="AG237" s="5">
        <f/>
        <v>3.7888544014664545</v>
      </c>
      <c r="AH237" s="5">
        <f/>
        <v>0.67497034104870912</v>
      </c>
      <c r="AI237" s="5">
        <f/>
        <v>7.7433919128858211</v>
      </c>
      <c r="AJ237" s="5">
        <f/>
        <v>0.38158615799404999</v>
      </c>
      <c r="AK237" s="5">
        <f/>
        <v>0.70596839001329181</v>
      </c>
      <c r="AL237" s="5">
        <f/>
        <v>1</v>
      </c>
      <c r="AM237" s="5">
        <f/>
        <v>0.53395364387162869</v>
      </c>
      <c r="AN237" s="5">
        <f/>
        <v>6.029966783108657</v>
      </c>
      <c r="AR237" s="5">
        <f t="shared" si="184"/>
        <v>4.0527864226106178</v>
      </c>
      <c r="AS237" s="5">
        <f t="shared" si="185"/>
        <v>2.1565169204825381</v>
      </c>
      <c r="AT237" s="5">
        <f t="shared" si="186"/>
        <v>7.8725342850206852</v>
      </c>
      <c r="AU237" s="5">
        <f t="shared" si="187"/>
        <v>3.0022262914225606</v>
      </c>
      <c r="AV237" s="5">
        <f t="shared" si="188"/>
        <v>2.1224624060997233</v>
      </c>
      <c r="AW237" s="5">
        <f t="shared" si="189"/>
        <v>2</v>
      </c>
      <c r="AX237" s="5">
        <f t="shared" si="190"/>
        <v>2.4067753981144304</v>
      </c>
      <c r="AY237" s="5">
        <f t="shared" si="191"/>
        <v>6.1958051759172594</v>
      </c>
    </row>
    <row r="238">
      <c r="B238" s="4">
        <v>1</v>
      </c>
      <c r="C238" s="4">
        <v>1</v>
      </c>
      <c r="D238" s="4">
        <v>0.5</v>
      </c>
      <c r="E238" s="4">
        <v>0.5</v>
      </c>
      <c r="F238" s="4">
        <v>2</v>
      </c>
      <c r="G238" s="4">
        <v>1</v>
      </c>
      <c r="H238" s="4">
        <v>1</v>
      </c>
      <c r="I238" s="4">
        <v>1</v>
      </c>
      <c r="L238" s="5">
        <f t="shared" si="175"/>
        <v>0.053120849933598939</v>
      </c>
      <c r="M238" s="5">
        <f t="shared" si="176"/>
        <v>0.14098690835850958</v>
      </c>
      <c r="N238" s="5">
        <f t="shared" si="177"/>
        <v>0.031738035264483627</v>
      </c>
      <c r="O238" s="5">
        <f t="shared" si="178"/>
        <v>0.031623330990864375</v>
      </c>
      <c r="P238" s="5">
        <f t="shared" si="179"/>
        <v>0.058111380145278453</v>
      </c>
      <c r="Q238" s="5">
        <f t="shared" si="180"/>
        <v>0.037300177619893425</v>
      </c>
      <c r="R238" s="5">
        <f t="shared" si="181"/>
        <v>0.092189500640204869</v>
      </c>
      <c r="S238" s="6">
        <f t="shared" si="182"/>
        <v>0.033333333333333333</v>
      </c>
      <c r="T238" s="5">
        <f t="shared" si="183"/>
        <v>0.05980043953577082</v>
      </c>
      <c r="W238" s="5">
        <f>1/AC232</f>
        <v>0.47139006200815547</v>
      </c>
      <c r="X238" s="5">
        <f>1/AC233</f>
        <v>0.29400934836668724</v>
      </c>
      <c r="Y238" s="5">
        <f>1/AC234</f>
        <v>0.26909392161689588</v>
      </c>
      <c r="Z238" s="5">
        <f>1/AC235</f>
        <v>0.26002985954965641</v>
      </c>
      <c r="AA238" s="5">
        <f>1/AC236</f>
        <v>1.6865989436283568</v>
      </c>
      <c r="AB238" s="5">
        <f>1/AC237</f>
        <v>0.53395364387162869</v>
      </c>
      <c r="AC238" s="5">
        <v>1</v>
      </c>
      <c r="AD238" s="5">
        <f>(I238*T238)/T239</f>
        <v>0.53130008480380742</v>
      </c>
      <c r="AG238" s="5">
        <f/>
        <v>2.121385410078287</v>
      </c>
      <c r="AH238" s="5">
        <f/>
        <v>3.4012523940320567</v>
      </c>
      <c r="AI238" s="5">
        <f/>
        <v>3.7161746129059052</v>
      </c>
      <c r="AJ238" s="5">
        <f/>
        <v>3.845712187561428</v>
      </c>
      <c r="AK238" s="5">
        <f/>
        <v>0.59290918198295195</v>
      </c>
      <c r="AL238" s="5">
        <f/>
        <v>1.8728217542428018</v>
      </c>
      <c r="AM238" s="5">
        <f/>
        <v>1</v>
      </c>
      <c r="AN238" s="5">
        <f/>
        <v>1.8821754947945639</v>
      </c>
      <c r="AR238" s="5">
        <f t="shared" si="184"/>
        <v>2.5927754720864424</v>
      </c>
      <c r="AS238" s="5">
        <f t="shared" si="185"/>
        <v>3.6952617423987437</v>
      </c>
      <c r="AT238" s="5">
        <f t="shared" si="186"/>
        <v>3.9852685345228012</v>
      </c>
      <c r="AU238" s="5">
        <f t="shared" si="187"/>
        <v>4.1057420471110841</v>
      </c>
      <c r="AV238" s="5">
        <f t="shared" si="188"/>
        <v>2.2795081256113088</v>
      </c>
      <c r="AW238" s="5">
        <f t="shared" si="189"/>
        <v>2.4067753981144304</v>
      </c>
      <c r="AX238" s="5">
        <f t="shared" si="190"/>
        <v>2</v>
      </c>
      <c r="AY238" s="5">
        <f t="shared" si="191"/>
        <v>2.4134755795983711</v>
      </c>
    </row>
    <row r="239">
      <c r="B239" s="10">
        <v>0.20000000000000001</v>
      </c>
      <c r="C239" s="10">
        <v>2</v>
      </c>
      <c r="D239" s="10">
        <v>3</v>
      </c>
      <c r="E239" s="10">
        <v>1</v>
      </c>
      <c r="F239" s="10">
        <v>0.16666666666666671</v>
      </c>
      <c r="G239" s="10">
        <v>6</v>
      </c>
      <c r="H239" s="10">
        <v>1</v>
      </c>
      <c r="I239" s="10">
        <v>1</v>
      </c>
      <c r="L239" s="5">
        <f t="shared" si="175"/>
        <v>0.010624169986719788</v>
      </c>
      <c r="M239" s="5">
        <f t="shared" si="176"/>
        <v>0.28197381671701915</v>
      </c>
      <c r="N239" s="5">
        <f t="shared" si="177"/>
        <v>0.19042821158690176</v>
      </c>
      <c r="O239" s="5">
        <f t="shared" si="178"/>
        <v>0.06324666198172875</v>
      </c>
      <c r="P239" s="5">
        <f t="shared" si="179"/>
        <v>0.0048426150121065395</v>
      </c>
      <c r="Q239" s="5">
        <f t="shared" si="180"/>
        <v>0.22380106571936056</v>
      </c>
      <c r="R239" s="5">
        <f t="shared" si="181"/>
        <v>0.092189500640204869</v>
      </c>
      <c r="S239" s="6">
        <f t="shared" si="182"/>
        <v>0.033333333333333333</v>
      </c>
      <c r="T239" s="5">
        <f t="shared" si="183"/>
        <v>0.11255492187217185</v>
      </c>
      <c r="W239" s="5">
        <f>1/AD232</f>
        <v>0.17744776464028805</v>
      </c>
      <c r="X239" s="5">
        <f>1/AD233</f>
        <v>1.106754381472594</v>
      </c>
      <c r="Y239" s="5">
        <f>1/AD234</f>
        <v>3.0388919103929437</v>
      </c>
      <c r="Z239" s="5">
        <f>1/AD235</f>
        <v>0.97884365911847115</v>
      </c>
      <c r="AA239" s="5">
        <f>1/AD236</f>
        <v>0.26453960010364097</v>
      </c>
      <c r="AB239" s="5">
        <f>1/AD237</f>
        <v>6.029966783108657</v>
      </c>
      <c r="AC239" s="5">
        <f>1/AD238</f>
        <v>1.8821754947945639</v>
      </c>
      <c r="AD239" s="5">
        <v>1</v>
      </c>
      <c r="AG239" s="5">
        <f/>
        <v>5.6354612413807681</v>
      </c>
      <c r="AH239" s="5">
        <f/>
        <v>0.90354284269419227</v>
      </c>
      <c r="AI239" s="5">
        <f/>
        <v>0.32906731449711057</v>
      </c>
      <c r="AJ239" s="5">
        <f/>
        <v>1.0216136056912111</v>
      </c>
      <c r="AK239" s="5">
        <f/>
        <v>3.7801523840219815</v>
      </c>
      <c r="AL239" s="5">
        <f/>
        <v>0.16583839280860271</v>
      </c>
      <c r="AM239" s="5">
        <f/>
        <v>0.53130008480380742</v>
      </c>
      <c r="AN239" s="5">
        <f/>
        <v>1</v>
      </c>
      <c r="AR239" s="5">
        <f t="shared" si="184"/>
        <v>5.812909006021056</v>
      </c>
      <c r="AS239" s="5">
        <f t="shared" si="185"/>
        <v>2.010297224166786</v>
      </c>
      <c r="AT239" s="5">
        <f t="shared" si="186"/>
        <v>3.3679592248900541</v>
      </c>
      <c r="AU239" s="5">
        <f t="shared" si="187"/>
        <v>2.0004572648096821</v>
      </c>
      <c r="AV239" s="5">
        <f t="shared" si="188"/>
        <v>4.0446919841256221</v>
      </c>
      <c r="AW239" s="5">
        <f t="shared" si="189"/>
        <v>6.1958051759172594</v>
      </c>
      <c r="AX239" s="5">
        <f t="shared" si="190"/>
        <v>2.4134755795983711</v>
      </c>
      <c r="AY239" s="5">
        <f t="shared" si="191"/>
        <v>2</v>
      </c>
    </row>
    <row r="240">
      <c r="A240" s="2" t="s">
        <v>6</v>
      </c>
      <c r="B240" s="11">
        <f>SUM(B232:B239)</f>
        <v>12.533333333333333</v>
      </c>
      <c r="C240" s="11">
        <f>SUM(C232:C239)</f>
        <v>9.4761904761904763</v>
      </c>
      <c r="D240" s="11">
        <f>SUM(D232:D239)</f>
        <v>7.7539682539682531</v>
      </c>
      <c r="E240" s="11">
        <f>SUM(E232:E239)</f>
        <v>11.699999999999999</v>
      </c>
      <c r="F240" s="11">
        <f>SUM(F232:F239)</f>
        <v>7.416666666666667</v>
      </c>
      <c r="G240" s="11">
        <f>SUM(G232:G239)</f>
        <v>19.666666666666668</v>
      </c>
      <c r="H240" s="11">
        <f>SUM(H232:H239)</f>
        <v>9.5</v>
      </c>
      <c r="I240" s="11">
        <f>SUM(I232:I239)</f>
        <v>14.999999999999998</v>
      </c>
    </row>
    <row r="242">
      <c r="B242" s="2" t="s">
        <v>7</v>
      </c>
      <c r="C242" s="2">
        <f>B240*T232+C240*T233+D240*T234+E240*T235+F240*T236+G240*T237+H240*T238+I240*T239</f>
        <v>8.3258611226217401</v>
      </c>
    </row>
    <row r="243">
      <c r="B243" s="2" t="s">
        <v>8</v>
      </c>
      <c r="C243" s="2">
        <f>(C242-8)/7</f>
        <v>0.046551588945962862</v>
      </c>
    </row>
    <row r="244">
      <c r="B244" s="2" t="s">
        <v>9</v>
      </c>
      <c r="C244" s="2">
        <f>C243/1.41</f>
        <v>0.033015311309193524</v>
      </c>
    </row>
    <row r="247">
      <c r="C247" s="2" t="s">
        <v>26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Fedotov</dc:creator>
  <cp:revision>1</cp:revision>
  <dcterms:created xsi:type="dcterms:W3CDTF">2025-11-20T19:17:10Z</dcterms:created>
  <dcterms:modified xsi:type="dcterms:W3CDTF">2025-11-25T19:38:36Z</dcterms:modified>
</cp:coreProperties>
</file>